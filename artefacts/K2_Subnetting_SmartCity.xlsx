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iramidiana\Downloads\"/>
    </mc:Choice>
  </mc:AlternateContent>
  <xr:revisionPtr revIDLastSave="0" documentId="13_ncr:1_{362F8787-A13F-44EE-A0E7-6843789D5F40}" xr6:coauthVersionLast="47" xr6:coauthVersionMax="47" xr10:uidLastSave="{00000000-0000-0000-0000-000000000000}"/>
  <bookViews>
    <workbookView xWindow="0" yWindow="360" windowWidth="19420" windowHeight="11500" tabRatio="500" activeTab="3" xr2:uid="{00000000-000D-0000-FFFF-FFFF00000000}"/>
  </bookViews>
  <sheets>
    <sheet name="Info" sheetId="1" r:id="rId1"/>
    <sheet name="Kebutuhan" sheetId="2" r:id="rId2"/>
    <sheet name="VLSM" sheetId="3" r:id="rId3"/>
    <sheet name="CIDR" sheetId="4" r:id="rId4"/>
    <sheet name="Supernet" sheetId="5" r:id="rId5"/>
    <sheet name="Efisiensi" sheetId="6" r:id="rId6"/>
    <sheet name="Revisi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7" l="1"/>
  <c r="B6" i="6"/>
  <c r="F33" i="5"/>
  <c r="H23" i="5"/>
  <c r="I23" i="5" s="1"/>
  <c r="H22" i="5"/>
  <c r="I22" i="5" s="1"/>
  <c r="H21" i="5"/>
  <c r="I21" i="5" s="1"/>
  <c r="H20" i="5"/>
  <c r="I20" i="5" s="1"/>
  <c r="H19" i="5"/>
  <c r="I19" i="5" s="1"/>
  <c r="H18" i="5"/>
  <c r="I18" i="5" s="1"/>
  <c r="H17" i="5"/>
  <c r="I17" i="5" s="1"/>
  <c r="H16" i="5"/>
  <c r="I16" i="5" s="1"/>
  <c r="H15" i="5"/>
  <c r="I15" i="5" s="1"/>
  <c r="H14" i="5"/>
  <c r="I14" i="5" s="1"/>
  <c r="H13" i="5"/>
  <c r="I13" i="5" s="1"/>
  <c r="H12" i="5"/>
  <c r="I12" i="5" s="1"/>
  <c r="H11" i="5"/>
  <c r="I11" i="5" s="1"/>
  <c r="H10" i="5"/>
  <c r="I10" i="5" s="1"/>
  <c r="H9" i="5"/>
  <c r="I9" i="5" s="1"/>
  <c r="H8" i="5"/>
  <c r="I8" i="5" s="1"/>
  <c r="H7" i="5"/>
  <c r="I7" i="5" s="1"/>
  <c r="H6" i="5"/>
  <c r="I6" i="5" s="1"/>
  <c r="H5" i="5"/>
  <c r="I5" i="5" s="1"/>
  <c r="C29" i="4"/>
  <c r="C30" i="4" s="1"/>
  <c r="C6" i="6" s="1"/>
  <c r="G6" i="6" s="1"/>
  <c r="J24" i="4"/>
  <c r="I24" i="4"/>
  <c r="J23" i="4"/>
  <c r="J22" i="4"/>
  <c r="I22" i="4"/>
  <c r="J21" i="4"/>
  <c r="J20" i="4"/>
  <c r="J19" i="4"/>
  <c r="J18" i="4"/>
  <c r="J17" i="4"/>
  <c r="J16" i="4"/>
  <c r="I16" i="4"/>
  <c r="J15" i="4"/>
  <c r="J14" i="4"/>
  <c r="J13" i="4"/>
  <c r="I13" i="4"/>
  <c r="J12" i="4"/>
  <c r="J11" i="4"/>
  <c r="J10" i="4"/>
  <c r="I10" i="4"/>
  <c r="J9" i="4"/>
  <c r="J8" i="4"/>
  <c r="J7" i="4"/>
  <c r="I7" i="4"/>
  <c r="J6" i="4"/>
  <c r="J5" i="4"/>
  <c r="C28" i="4" s="1"/>
  <c r="E6" i="6" s="1"/>
  <c r="J24" i="3"/>
  <c r="I24" i="3"/>
  <c r="C24" i="3"/>
  <c r="J23" i="3"/>
  <c r="I23" i="3"/>
  <c r="C23" i="3"/>
  <c r="J22" i="3"/>
  <c r="I22" i="3"/>
  <c r="C22" i="3"/>
  <c r="J21" i="3"/>
  <c r="I21" i="3"/>
  <c r="C21" i="3"/>
  <c r="J20" i="3"/>
  <c r="I20" i="3"/>
  <c r="C20" i="3"/>
  <c r="J19" i="3"/>
  <c r="I19" i="3"/>
  <c r="C19" i="3"/>
  <c r="J18" i="3"/>
  <c r="C18" i="3"/>
  <c r="J17" i="3"/>
  <c r="C17" i="3"/>
  <c r="J16" i="3"/>
  <c r="C16" i="3"/>
  <c r="J15" i="3"/>
  <c r="C15" i="3"/>
  <c r="J14" i="3"/>
  <c r="C14" i="3"/>
  <c r="J13" i="3"/>
  <c r="C13" i="3"/>
  <c r="J12" i="3"/>
  <c r="C12" i="3"/>
  <c r="J11" i="3"/>
  <c r="C11" i="3"/>
  <c r="J10" i="3"/>
  <c r="C10" i="3"/>
  <c r="J9" i="3"/>
  <c r="C9" i="3"/>
  <c r="J8" i="3"/>
  <c r="C8" i="3"/>
  <c r="J7" i="3"/>
  <c r="C7" i="3"/>
  <c r="J6" i="3"/>
  <c r="C6" i="3"/>
  <c r="J5" i="3"/>
  <c r="C28" i="3" s="1"/>
  <c r="E5" i="6" s="1"/>
  <c r="C5" i="3"/>
  <c r="E25" i="2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" i="2"/>
  <c r="B11" i="1"/>
  <c r="B10" i="1"/>
  <c r="B8" i="1"/>
  <c r="B5" i="1"/>
  <c r="H24" i="2" l="1"/>
  <c r="K24" i="3"/>
  <c r="K22" i="4"/>
  <c r="K10" i="4"/>
  <c r="H23" i="2"/>
  <c r="K20" i="3"/>
  <c r="H22" i="2"/>
  <c r="K13" i="4"/>
  <c r="K22" i="3"/>
  <c r="H21" i="2"/>
  <c r="K16" i="4"/>
  <c r="K23" i="3"/>
  <c r="K24" i="4"/>
  <c r="M24" i="4" s="1"/>
  <c r="K21" i="3"/>
  <c r="H20" i="2"/>
  <c r="K19" i="3"/>
  <c r="K7" i="4"/>
  <c r="H19" i="2"/>
  <c r="K14" i="3"/>
  <c r="K9" i="4"/>
  <c r="H18" i="2"/>
  <c r="H17" i="2"/>
  <c r="K10" i="3"/>
  <c r="K8" i="4"/>
  <c r="H8" i="4" s="1"/>
  <c r="K12" i="3"/>
  <c r="K12" i="4"/>
  <c r="H16" i="2"/>
  <c r="H15" i="2"/>
  <c r="K11" i="4"/>
  <c r="K8" i="3"/>
  <c r="K15" i="4"/>
  <c r="H14" i="2"/>
  <c r="K17" i="3"/>
  <c r="H13" i="2"/>
  <c r="K14" i="4"/>
  <c r="K6" i="3"/>
  <c r="K21" i="4"/>
  <c r="K16" i="3"/>
  <c r="H12" i="2"/>
  <c r="K20" i="4"/>
  <c r="H11" i="2"/>
  <c r="K9" i="3"/>
  <c r="H10" i="2"/>
  <c r="K23" i="4"/>
  <c r="H23" i="4" s="1"/>
  <c r="K13" i="3"/>
  <c r="H9" i="2"/>
  <c r="K5" i="3"/>
  <c r="K19" i="4"/>
  <c r="H8" i="2"/>
  <c r="K15" i="3"/>
  <c r="K6" i="4"/>
  <c r="K5" i="4"/>
  <c r="H7" i="2"/>
  <c r="K7" i="3"/>
  <c r="H6" i="2"/>
  <c r="K18" i="3"/>
  <c r="K18" i="4"/>
  <c r="G5" i="2"/>
  <c r="F25" i="2"/>
  <c r="I5" i="4"/>
  <c r="B6" i="1"/>
  <c r="F23" i="5"/>
  <c r="G22" i="5"/>
  <c r="F22" i="5"/>
  <c r="G21" i="5"/>
  <c r="F21" i="5"/>
  <c r="D34" i="5" s="1"/>
  <c r="G20" i="5"/>
  <c r="F20" i="5"/>
  <c r="G19" i="5"/>
  <c r="F19" i="5"/>
  <c r="D32" i="5" s="1"/>
  <c r="G18" i="5"/>
  <c r="F18" i="5"/>
  <c r="G17" i="5"/>
  <c r="F17" i="5"/>
  <c r="G16" i="5"/>
  <c r="F16" i="5"/>
  <c r="D31" i="5" s="1"/>
  <c r="G15" i="5"/>
  <c r="F15" i="5"/>
  <c r="G14" i="5"/>
  <c r="F14" i="5"/>
  <c r="D30" i="5" s="1"/>
  <c r="G13" i="5"/>
  <c r="F13" i="5"/>
  <c r="G12" i="5"/>
  <c r="F12" i="5"/>
  <c r="G11" i="5"/>
  <c r="F11" i="5"/>
  <c r="D29" i="5" s="1"/>
  <c r="G10" i="5"/>
  <c r="F10" i="5"/>
  <c r="D21" i="4"/>
  <c r="D20" i="4"/>
  <c r="H16" i="4"/>
  <c r="D10" i="4"/>
  <c r="G8" i="4"/>
  <c r="D8" i="4"/>
  <c r="D7" i="4"/>
  <c r="I6" i="4"/>
  <c r="D5" i="4"/>
  <c r="G5" i="3"/>
  <c r="G9" i="5"/>
  <c r="F9" i="5"/>
  <c r="D28" i="5" s="1"/>
  <c r="G8" i="5"/>
  <c r="F8" i="5"/>
  <c r="G7" i="5"/>
  <c r="F7" i="5"/>
  <c r="G6" i="5"/>
  <c r="F6" i="5"/>
  <c r="G5" i="5"/>
  <c r="F5" i="5"/>
  <c r="C31" i="4"/>
  <c r="H24" i="4"/>
  <c r="G24" i="4"/>
  <c r="D24" i="4"/>
  <c r="I23" i="4"/>
  <c r="G23" i="4"/>
  <c r="D23" i="4"/>
  <c r="H22" i="4"/>
  <c r="G22" i="4"/>
  <c r="D22" i="4"/>
  <c r="I21" i="4"/>
  <c r="H21" i="4"/>
  <c r="G21" i="4"/>
  <c r="I20" i="4"/>
  <c r="H20" i="4"/>
  <c r="G20" i="4"/>
  <c r="I19" i="4"/>
  <c r="H19" i="4"/>
  <c r="G19" i="4"/>
  <c r="D19" i="4"/>
  <c r="I18" i="4"/>
  <c r="H18" i="4"/>
  <c r="G18" i="4"/>
  <c r="D18" i="4"/>
  <c r="I17" i="4"/>
  <c r="D17" i="4"/>
  <c r="D9" i="4"/>
  <c r="H6" i="4"/>
  <c r="G6" i="4"/>
  <c r="D6" i="4"/>
  <c r="H5" i="4"/>
  <c r="G5" i="4"/>
  <c r="F40" i="5"/>
  <c r="F39" i="5"/>
  <c r="H5" i="3"/>
  <c r="F38" i="5"/>
  <c r="F37" i="5"/>
  <c r="F36" i="5"/>
  <c r="G16" i="4"/>
  <c r="D16" i="4"/>
  <c r="I15" i="4"/>
  <c r="H15" i="4"/>
  <c r="F35" i="5"/>
  <c r="D15" i="4"/>
  <c r="I14" i="4"/>
  <c r="H14" i="4"/>
  <c r="G14" i="4"/>
  <c r="D14" i="4"/>
  <c r="H13" i="4"/>
  <c r="G13" i="4"/>
  <c r="D13" i="4"/>
  <c r="I12" i="4"/>
  <c r="H12" i="4"/>
  <c r="G12" i="4"/>
  <c r="D12" i="4"/>
  <c r="I11" i="4"/>
  <c r="H11" i="4"/>
  <c r="G11" i="4"/>
  <c r="D11" i="4"/>
  <c r="G10" i="4"/>
  <c r="H9" i="4"/>
  <c r="G9" i="4"/>
  <c r="F34" i="5"/>
  <c r="G15" i="4"/>
  <c r="D5" i="3"/>
  <c r="F32" i="5"/>
  <c r="F31" i="5"/>
  <c r="F30" i="5"/>
  <c r="F29" i="5"/>
  <c r="F28" i="5"/>
  <c r="G23" i="5"/>
  <c r="H10" i="4"/>
  <c r="I9" i="4"/>
  <c r="I8" i="4"/>
  <c r="H7" i="4"/>
  <c r="I5" i="3"/>
  <c r="G7" i="4"/>
  <c r="F6" i="6"/>
  <c r="E24" i="3" l="1"/>
  <c r="E22" i="4"/>
  <c r="I24" i="2"/>
  <c r="M22" i="4"/>
  <c r="N23" i="4"/>
  <c r="M10" i="4"/>
  <c r="N11" i="4"/>
  <c r="E20" i="3"/>
  <c r="I23" i="2"/>
  <c r="E10" i="4"/>
  <c r="E13" i="4"/>
  <c r="I22" i="2"/>
  <c r="E22" i="3"/>
  <c r="M13" i="4"/>
  <c r="N14" i="4"/>
  <c r="E23" i="3"/>
  <c r="I21" i="2"/>
  <c r="E16" i="4"/>
  <c r="M16" i="4"/>
  <c r="N17" i="4"/>
  <c r="E21" i="3"/>
  <c r="I20" i="2"/>
  <c r="E24" i="4"/>
  <c r="M7" i="4"/>
  <c r="N8" i="4"/>
  <c r="I19" i="2"/>
  <c r="E19" i="3"/>
  <c r="E7" i="4"/>
  <c r="M9" i="4"/>
  <c r="N10" i="4"/>
  <c r="E9" i="4"/>
  <c r="E20" i="7"/>
  <c r="I18" i="2"/>
  <c r="E14" i="3"/>
  <c r="I17" i="2"/>
  <c r="E10" i="3"/>
  <c r="E8" i="4"/>
  <c r="N9" i="4"/>
  <c r="M8" i="4"/>
  <c r="M12" i="4"/>
  <c r="N13" i="4"/>
  <c r="I16" i="2"/>
  <c r="E12" i="3"/>
  <c r="E12" i="4"/>
  <c r="E11" i="4"/>
  <c r="E8" i="3"/>
  <c r="I15" i="2"/>
  <c r="M11" i="4"/>
  <c r="N12" i="4"/>
  <c r="M15" i="4"/>
  <c r="N16" i="4"/>
  <c r="I14" i="2"/>
  <c r="E15" i="4"/>
  <c r="E17" i="3"/>
  <c r="E6" i="3"/>
  <c r="E14" i="4"/>
  <c r="I13" i="2"/>
  <c r="M14" i="4"/>
  <c r="N15" i="4"/>
  <c r="M21" i="4"/>
  <c r="N22" i="4"/>
  <c r="I12" i="2"/>
  <c r="E21" i="4"/>
  <c r="E16" i="3"/>
  <c r="M20" i="4"/>
  <c r="N21" i="4"/>
  <c r="E9" i="3"/>
  <c r="E20" i="4"/>
  <c r="I11" i="2"/>
  <c r="E13" i="3"/>
  <c r="E23" i="4"/>
  <c r="I10" i="2"/>
  <c r="M23" i="4"/>
  <c r="N24" i="4"/>
  <c r="I9" i="2"/>
  <c r="E5" i="3"/>
  <c r="E19" i="4"/>
  <c r="M5" i="3"/>
  <c r="L6" i="3"/>
  <c r="M19" i="4"/>
  <c r="N20" i="4"/>
  <c r="I8" i="2"/>
  <c r="E15" i="3"/>
  <c r="E6" i="4"/>
  <c r="N7" i="4"/>
  <c r="M6" i="4"/>
  <c r="M5" i="4"/>
  <c r="N6" i="4"/>
  <c r="I7" i="2"/>
  <c r="E7" i="3"/>
  <c r="E5" i="4"/>
  <c r="I6" i="2"/>
  <c r="E18" i="3"/>
  <c r="E18" i="4"/>
  <c r="M18" i="4"/>
  <c r="N19" i="4"/>
  <c r="H5" i="2"/>
  <c r="G25" i="2"/>
  <c r="K11" i="3"/>
  <c r="C27" i="3" s="1"/>
  <c r="K17" i="4"/>
  <c r="C27" i="4" s="1"/>
  <c r="D6" i="6" s="1"/>
  <c r="F22" i="4" l="1"/>
  <c r="F24" i="3"/>
  <c r="F20" i="3"/>
  <c r="F10" i="4"/>
  <c r="F22" i="3"/>
  <c r="F13" i="4"/>
  <c r="F16" i="4"/>
  <c r="F23" i="3"/>
  <c r="F24" i="4"/>
  <c r="F21" i="3"/>
  <c r="F7" i="4"/>
  <c r="F19" i="3"/>
  <c r="F9" i="4"/>
  <c r="F14" i="3"/>
  <c r="F8" i="4"/>
  <c r="F10" i="3"/>
  <c r="F12" i="4"/>
  <c r="F12" i="3"/>
  <c r="F8" i="3"/>
  <c r="F11" i="4"/>
  <c r="F17" i="3"/>
  <c r="F15" i="4"/>
  <c r="F6" i="3"/>
  <c r="F14" i="4"/>
  <c r="F16" i="3"/>
  <c r="F21" i="4"/>
  <c r="F9" i="3"/>
  <c r="F20" i="4"/>
  <c r="F13" i="3"/>
  <c r="F23" i="4"/>
  <c r="F19" i="4"/>
  <c r="F5" i="3"/>
  <c r="C29" i="3"/>
  <c r="D5" i="6"/>
  <c r="D6" i="3"/>
  <c r="G6" i="3"/>
  <c r="H6" i="3"/>
  <c r="I6" i="3"/>
  <c r="L7" i="3"/>
  <c r="N6" i="3"/>
  <c r="M6" i="3"/>
  <c r="F15" i="3"/>
  <c r="F6" i="4"/>
  <c r="F7" i="3"/>
  <c r="F5" i="4"/>
  <c r="F18" i="3"/>
  <c r="F18" i="4"/>
  <c r="I5" i="2"/>
  <c r="E17" i="4"/>
  <c r="E11" i="3"/>
  <c r="H17" i="4"/>
  <c r="G17" i="4"/>
  <c r="M17" i="4"/>
  <c r="N18" i="4"/>
  <c r="C31" i="3" l="1"/>
  <c r="B5" i="6"/>
  <c r="E5" i="7"/>
  <c r="C30" i="3"/>
  <c r="C5" i="6" s="1"/>
  <c r="H7" i="3"/>
  <c r="I7" i="3"/>
  <c r="D7" i="3"/>
  <c r="G7" i="3"/>
  <c r="N7" i="3"/>
  <c r="L8" i="3"/>
  <c r="M7" i="3"/>
  <c r="F17" i="4"/>
  <c r="F11" i="3"/>
  <c r="F5" i="6" l="1"/>
  <c r="G5" i="6"/>
  <c r="D8" i="3"/>
  <c r="H8" i="3"/>
  <c r="G8" i="3"/>
  <c r="I8" i="3"/>
  <c r="L9" i="3"/>
  <c r="N8" i="3"/>
  <c r="M8" i="3"/>
  <c r="B9" i="6" l="1"/>
  <c r="E23" i="7" s="1"/>
  <c r="B8" i="6"/>
  <c r="I9" i="3"/>
  <c r="D9" i="3"/>
  <c r="H9" i="3"/>
  <c r="G9" i="3"/>
  <c r="L10" i="3"/>
  <c r="N9" i="3"/>
  <c r="M9" i="3"/>
  <c r="H10" i="3" l="1"/>
  <c r="D10" i="3"/>
  <c r="G10" i="3"/>
  <c r="I10" i="3"/>
  <c r="L11" i="3"/>
  <c r="M10" i="3"/>
  <c r="N10" i="3"/>
  <c r="I11" i="3" l="1"/>
  <c r="H11" i="3"/>
  <c r="D11" i="3"/>
  <c r="E6" i="7" s="1"/>
  <c r="G11" i="3"/>
  <c r="N11" i="3"/>
  <c r="M11" i="3"/>
  <c r="L12" i="3"/>
  <c r="I12" i="3" l="1"/>
  <c r="H12" i="3"/>
  <c r="D12" i="3"/>
  <c r="E7" i="7" s="1"/>
  <c r="G12" i="3"/>
  <c r="N12" i="3"/>
  <c r="L13" i="3"/>
  <c r="M12" i="3"/>
  <c r="I13" i="3" l="1"/>
  <c r="H13" i="3"/>
  <c r="D13" i="3"/>
  <c r="E8" i="7" s="1"/>
  <c r="G13" i="3"/>
  <c r="L14" i="3"/>
  <c r="M13" i="3"/>
  <c r="N13" i="3"/>
  <c r="I14" i="3" l="1"/>
  <c r="G14" i="3"/>
  <c r="H14" i="3"/>
  <c r="D14" i="3"/>
  <c r="N14" i="3"/>
  <c r="M14" i="3"/>
  <c r="L15" i="3"/>
  <c r="D15" i="3" l="1"/>
  <c r="G15" i="3"/>
  <c r="I15" i="3"/>
  <c r="H15" i="3"/>
  <c r="M15" i="3"/>
  <c r="N15" i="3"/>
  <c r="L16" i="3"/>
  <c r="E9" i="7"/>
  <c r="D16" i="3" l="1"/>
  <c r="G16" i="3"/>
  <c r="I16" i="3"/>
  <c r="H16" i="3"/>
  <c r="M16" i="3"/>
  <c r="N16" i="3"/>
  <c r="L17" i="3"/>
  <c r="E10" i="7"/>
  <c r="D17" i="3" l="1"/>
  <c r="H17" i="3"/>
  <c r="I17" i="3"/>
  <c r="G17" i="3"/>
  <c r="M17" i="3"/>
  <c r="N17" i="3"/>
  <c r="L18" i="3"/>
  <c r="E11" i="7"/>
  <c r="D18" i="3" l="1"/>
  <c r="G18" i="3"/>
  <c r="I18" i="3"/>
  <c r="H18" i="3"/>
  <c r="N18" i="3"/>
  <c r="L19" i="3"/>
  <c r="M18" i="3"/>
  <c r="E12" i="7"/>
  <c r="G19" i="3" l="1"/>
  <c r="D19" i="3"/>
  <c r="H19" i="3"/>
  <c r="N19" i="3"/>
  <c r="M19" i="3"/>
  <c r="L20" i="3"/>
  <c r="E13" i="7"/>
  <c r="D20" i="3" l="1"/>
  <c r="E15" i="7" s="1"/>
  <c r="G20" i="3"/>
  <c r="H20" i="3"/>
  <c r="M20" i="3"/>
  <c r="N20" i="3"/>
  <c r="L21" i="3"/>
  <c r="E14" i="7"/>
  <c r="D21" i="3" l="1"/>
  <c r="E16" i="7" s="1"/>
  <c r="G21" i="3"/>
  <c r="H21" i="3"/>
  <c r="M21" i="3"/>
  <c r="N21" i="3"/>
  <c r="L22" i="3"/>
  <c r="D22" i="3" l="1"/>
  <c r="E17" i="7" s="1"/>
  <c r="G22" i="3"/>
  <c r="H22" i="3"/>
  <c r="M22" i="3"/>
  <c r="N22" i="3"/>
  <c r="L23" i="3"/>
  <c r="D23" i="3" l="1"/>
  <c r="G23" i="3"/>
  <c r="H23" i="3"/>
  <c r="M23" i="3"/>
  <c r="N23" i="3"/>
  <c r="L24" i="3"/>
  <c r="G24" i="3" l="1"/>
  <c r="D24" i="3"/>
  <c r="E19" i="7" s="1"/>
  <c r="H24" i="3"/>
  <c r="M24" i="3"/>
  <c r="N24" i="3"/>
  <c r="E18" i="7"/>
</calcChain>
</file>

<file path=xl/sharedStrings.xml><?xml version="1.0" encoding="utf-8"?>
<sst xmlns="http://schemas.openxmlformats.org/spreadsheetml/2006/main" count="418" uniqueCount="240">
  <si>
    <t>Mid-Project Jarkom K2 – Subnetting Smart City Kota Surabaya</t>
  </si>
  <si>
    <t>Sumber kebutuhan host: soal UTS Komdat Jarkom, 23 Oktober 2026. Sel kuning berteks biru = input; sel lain berisi rumus.</t>
  </si>
  <si>
    <t>Parameter</t>
  </si>
  <si>
    <t>Nilai</t>
  </si>
  <si>
    <t>Nomor kelompok (K)</t>
  </si>
  <si>
    <t>Oktet ke-2 (8 × K)</t>
  </si>
  <si>
    <t>Base network</t>
  </si>
  <si>
    <t>Skema yang dipasang di Packet Tracer</t>
  </si>
  <si>
    <t>CIDR</t>
  </si>
  <si>
    <t>Link R-PUSAT – R-ISP</t>
  </si>
  <si>
    <t>Server internet</t>
  </si>
  <si>
    <t>8.8.8.8/24, gateway 8.8.8.1 di R-ISP</t>
  </si>
  <si>
    <t>Tunnel GRE</t>
  </si>
  <si>
    <t>Domain internal</t>
  </si>
  <si>
    <t>Anggota</t>
  </si>
  <si>
    <t>Nama</t>
  </si>
  <si>
    <t>NRP</t>
  </si>
  <si>
    <t>Dian Piramidiana Rachmatika</t>
  </si>
  <si>
    <t>5027251031</t>
  </si>
  <si>
    <t>Muhammad Rifqi Fathurrahman</t>
  </si>
  <si>
    <t>5027251029</t>
  </si>
  <si>
    <t>Ronnin Raditya Putra Partono</t>
  </si>
  <si>
    <t>5027251119</t>
  </si>
  <si>
    <t>Aturan perhitungan</t>
  </si>
  <si>
    <t>• Kebutuhan LAN = host + 1 gateway + 2 (network &amp; broadcast). Link antar-router = 2 host + 2 = 4 (/30), tanpa gateway.</t>
  </si>
  <si>
    <t>• Gateway setiap LAN = host pertama. Di setiap link /30, router atas memakai host pertama, router bawah host kedua.</t>
  </si>
  <si>
    <t>• Offset = posisi alamat relatif terhadap base: (oktet2 − base) × 65536 + oktet3 × 256 + oktet4.</t>
  </si>
  <si>
    <t>• VLSM: offset berurutan dari subnet terbesar. CIDR: offset diambil dari pohon penggabungan (sheet Supernet).</t>
  </si>
  <si>
    <t>• Kolom Cek: 'OK' berarti network habis dibagi ukuran blok (aligned) dan tidak tumpang tindih dengan baris sebelumnya.</t>
  </si>
  <si>
    <t>• Link ISP, server 8.8.8.8, dan tunnel GRE tidak ikut dihitung (sudah diberikan soal).</t>
  </si>
  <si>
    <t>• Alasan memilih 10.0.0.0/8: rentang privat terbesar (16,7 juta alamat); kebutuhan CIDR mencapai 262.144 alamat sehingga 192.168.0.0/16 tidak cukup, dan aturan oktet ke-2 = 8 × K hanya leluasa di blok 10.x.</t>
  </si>
  <si>
    <t>Tabel Kebutuhan (Soal UTS 1b)</t>
  </si>
  <si>
    <t>Host = input dari soal UTS. Kebutuhan, blok, prefix, dan mask dihitung otomatis.</t>
  </si>
  <si>
    <t>No</t>
  </si>
  <si>
    <t>Router</t>
  </si>
  <si>
    <t>Subnet</t>
  </si>
  <si>
    <t>Jenis</t>
  </si>
  <si>
    <t>Host</t>
  </si>
  <si>
    <t>Kebutuhan</t>
  </si>
  <si>
    <t>Ukuran blok</t>
  </si>
  <si>
    <t>Prefix</t>
  </si>
  <si>
    <t>Subnet mask</t>
  </si>
  <si>
    <t>R-PUSAT</t>
  </si>
  <si>
    <t>Pegawai Balai Kota</t>
  </si>
  <si>
    <t>LAN</t>
  </si>
  <si>
    <t>Server Balai Kota</t>
  </si>
  <si>
    <t>R-DC</t>
  </si>
  <si>
    <t>CCTV Kota</t>
  </si>
  <si>
    <t>Server dan Storage DC</t>
  </si>
  <si>
    <t>R-UTARA</t>
  </si>
  <si>
    <t>WiFi Publik Utara</t>
  </si>
  <si>
    <t>Sensor Lalu Lintas Utara</t>
  </si>
  <si>
    <t>R-PELABUHAN</t>
  </si>
  <si>
    <t>Sensor dan SCADA Pelabuhan</t>
  </si>
  <si>
    <t>Kantor Pelabuhan</t>
  </si>
  <si>
    <t>R-SELATAN</t>
  </si>
  <si>
    <t>WiFi Publik Selatan</t>
  </si>
  <si>
    <t>PJU Pintar Selatan</t>
  </si>
  <si>
    <t>R-TIMUR</t>
  </si>
  <si>
    <t>WiFi Publik Timur</t>
  </si>
  <si>
    <t>Sensor Banjir Timur</t>
  </si>
  <si>
    <t>R-BARAT</t>
  </si>
  <si>
    <t>WiFi Publik Barat</t>
  </si>
  <si>
    <t>Puskesmas dan Sekolah Barat</t>
  </si>
  <si>
    <t>R-PUSAT – R-DC</t>
  </si>
  <si>
    <t>L1 PUSAT-DC</t>
  </si>
  <si>
    <t>Link</t>
  </si>
  <si>
    <t>R-PUSAT – R-UTARA</t>
  </si>
  <si>
    <t>L2 PUSAT-UTARA</t>
  </si>
  <si>
    <t>R-PUSAT – R-SELATAN</t>
  </si>
  <si>
    <t>L3 PUSAT-SELATAN</t>
  </si>
  <si>
    <t>R-PUSAT – R-TIMUR</t>
  </si>
  <si>
    <t>L4 PUSAT-TIMUR</t>
  </si>
  <si>
    <t>R-PUSAT – R-BARAT</t>
  </si>
  <si>
    <t>L5 PUSAT-BARAT</t>
  </si>
  <si>
    <t>R-UTARA – R-PELABUHAN</t>
  </si>
  <si>
    <t>L6 UTARA-PELABUHAN</t>
  </si>
  <si>
    <t>Total</t>
  </si>
  <si>
    <t>Tabel VLSM (perbaikan dari lembar UTS)</t>
  </si>
  <si>
    <t>Urutan dari blok terbesar; offset berurutan (rumus). Perbaikan terhadap jawaban UTS dicatat di sheet Revisi.</t>
  </si>
  <si>
    <t>Kolom bantu hitung</t>
  </si>
  <si>
    <t>Nama subnet</t>
  </si>
  <si>
    <t>Router / sisi</t>
  </si>
  <si>
    <t>Network ID</t>
  </si>
  <si>
    <t>Rentang host</t>
  </si>
  <si>
    <t>Broadcast</t>
  </si>
  <si>
    <t>Gateway</t>
  </si>
  <si>
    <t>Offset</t>
  </si>
  <si>
    <t>Cek aligned</t>
  </si>
  <si>
    <t>Cek urut</t>
  </si>
  <si>
    <t>OK</t>
  </si>
  <si>
    <t>Ringkasan</t>
  </si>
  <si>
    <t>Total ukuran blok</t>
  </si>
  <si>
    <t>Total host terpakai</t>
  </si>
  <si>
    <t>Prefix induk</t>
  </si>
  <si>
    <t>Ukuran blok induk</t>
  </si>
  <si>
    <t>Blok induk</t>
  </si>
  <si>
    <t>Tabel CIDR (diimplementasikan di Packet Tracer)</t>
  </si>
  <si>
    <t>Offset (kuning) diambil dari pohon penggabungan di sheet Supernet; network, range, broadcast, dan gateway dihitung otomatis.</t>
  </si>
  <si>
    <t>Sisi R-DC</t>
  </si>
  <si>
    <t>Sisi R-BARAT</t>
  </si>
  <si>
    <t>Sisi R-TIMUR</t>
  </si>
  <si>
    <t>Sisi R-SELATAN</t>
  </si>
  <si>
    <t>Balai Kota (R-PUSAT)</t>
  </si>
  <si>
    <t>Sisi R-UTARA</t>
  </si>
  <si>
    <t>Sisi R-PELABUHAN</t>
  </si>
  <si>
    <t>Prefix induk (akar pohon)</t>
  </si>
  <si>
    <t>Pohon Penggabungan CIDR (Supernet per Router)</t>
  </si>
  <si>
    <t>Aturan gabung: prefix sama → naik 1; prefix beda → ambil blok terbesar lalu naik 1. Alokasi atas ke bawah: anak terbesar di awal, anak kedua di awal paruh kedua.</t>
  </si>
  <si>
    <t>Level</t>
  </si>
  <si>
    <t>Blok</t>
  </si>
  <si>
    <t>Network / prefix</t>
  </si>
  <si>
    <t>Rentang alamat</t>
  </si>
  <si>
    <t>Jumlah alamat</t>
  </si>
  <si>
    <t>Induk</t>
  </si>
  <si>
    <t>Semua jaringan</t>
  </si>
  <si>
    <t xml:space="preserve">    4 wilayah + Balai Kota</t>
  </si>
  <si>
    <t>DC, Barat, Timur, Selatan, Balai Kota</t>
  </si>
  <si>
    <t xml:space="preserve">        DC + Barat + Timur + Selatan</t>
  </si>
  <si>
    <t>4 sisi router wilayah</t>
  </si>
  <si>
    <t xml:space="preserve">            DC + Barat</t>
  </si>
  <si>
    <t>Sisi R-DC + sisi R-BARAT</t>
  </si>
  <si>
    <t xml:space="preserve">                Sisi R-DC</t>
  </si>
  <si>
    <t>CCTV /19 + (Server DC /24 + L1 /30)</t>
  </si>
  <si>
    <t xml:space="preserve">                    Server DC + L1</t>
  </si>
  <si>
    <t>Server dan Storage DC /24 + L1 /30</t>
  </si>
  <si>
    <t xml:space="preserve">                Sisi R-BARAT</t>
  </si>
  <si>
    <t>WiFi Barat /19 + (Puskesmas /24 + L5 /30)</t>
  </si>
  <si>
    <t xml:space="preserve">                    Puskesmas + L5</t>
  </si>
  <si>
    <t>Puskesmas dan Sekolah /24 + L5 /30</t>
  </si>
  <si>
    <t xml:space="preserve">            Timur + Selatan</t>
  </si>
  <si>
    <t>Sisi R-TIMUR + sisi R-SELATAN</t>
  </si>
  <si>
    <t xml:space="preserve">                Sisi R-TIMUR</t>
  </si>
  <si>
    <t>WiFi Timur /19 + (Banjir /22 + L4 /30)</t>
  </si>
  <si>
    <t xml:space="preserve">                    Banjir + L4</t>
  </si>
  <si>
    <t>Sensor Banjir /22 + L4 /30</t>
  </si>
  <si>
    <t xml:space="preserve">                Sisi R-SELATAN</t>
  </si>
  <si>
    <t>WiFi Selatan /19 + (PJU /25 + L3 /30)</t>
  </si>
  <si>
    <t xml:space="preserve">                    PJU + L3</t>
  </si>
  <si>
    <t>PJU Pintar /25 + L3 /30</t>
  </si>
  <si>
    <t xml:space="preserve">        Balai Kota (R-PUSAT)</t>
  </si>
  <si>
    <t>Pegawai /21 + Server Balai Kota /27</t>
  </si>
  <si>
    <t xml:space="preserve">    Sisi R-UTARA</t>
  </si>
  <si>
    <t>(WiFi Utara + Pelabuhan) /17 + (Sensor + L2) /22</t>
  </si>
  <si>
    <t xml:space="preserve">        WiFi Utara + Pelabuhan</t>
  </si>
  <si>
    <t>WiFi Utara /18 + sisi R-PELABUHAN /18</t>
  </si>
  <si>
    <t xml:space="preserve">            Sisi R-PELABUHAN</t>
  </si>
  <si>
    <t>SCADA /19 + (Kantor /25 + L6 /30)</t>
  </si>
  <si>
    <t xml:space="preserve">                Kantor + L6</t>
  </si>
  <si>
    <t>Kantor Pelabuhan /25 + L6 /30</t>
  </si>
  <si>
    <t xml:space="preserve">        Sensor + L2</t>
  </si>
  <si>
    <t>Sensor Lalu Lintas /23 + L2 /30</t>
  </si>
  <si>
    <t>Rencana rute ringkas (acuan soal 3, perlu dicek Fathur)</t>
  </si>
  <si>
    <t>Tujuan</t>
  </si>
  <si>
    <t>Jaringan</t>
  </si>
  <si>
    <t>Next hop</t>
  </si>
  <si>
    <t>Keterangan</t>
  </si>
  <si>
    <t>LAN sisi R-DC</t>
  </si>
  <si>
    <t>via L1</t>
  </si>
  <si>
    <t>LAN sisi R-BARAT</t>
  </si>
  <si>
    <t>via L5</t>
  </si>
  <si>
    <t>LAN sisi R-TIMUR</t>
  </si>
  <si>
    <t>via L4</t>
  </si>
  <si>
    <t>LAN sisi R-SELATAN</t>
  </si>
  <si>
    <t>via L3</t>
  </si>
  <si>
    <t>LAN R-UTARA + R-PELABUHAN</t>
  </si>
  <si>
    <t>via L2; trafik Balai Kota ke Pelabuhan nanti lewat tunnel GRE (soal 6)</t>
  </si>
  <si>
    <t>Default (internet)</t>
  </si>
  <si>
    <t>0.0.0.0/0</t>
  </si>
  <si>
    <t>R-ISP; asumsi R-ISP host pertama link ISP</t>
  </si>
  <si>
    <t>LAN R-PELABUHAN</t>
  </si>
  <si>
    <t>via L6</t>
  </si>
  <si>
    <t>Default</t>
  </si>
  <si>
    <t>ke R-PUSAT</t>
  </si>
  <si>
    <t>ke R-UTARA</t>
  </si>
  <si>
    <t>Perbandingan Efisiensi VLSM vs CIDR (Soal UTS 5)</t>
  </si>
  <si>
    <t>Pemakaian = host terpakai (LAN + 2 per link) ÷ ukuran blok induk.</t>
  </si>
  <si>
    <t>Metode</t>
  </si>
  <si>
    <t>Total ukuran blok subnet</t>
  </si>
  <si>
    <t>Host terpakai</t>
  </si>
  <si>
    <t>Pemakaian</t>
  </si>
  <si>
    <t>Alamat terbuang</t>
  </si>
  <si>
    <t>VLSM</t>
  </si>
  <si>
    <t>Selisih pemakaian</t>
  </si>
  <si>
    <t>Metode lebih efisien</t>
  </si>
  <si>
    <t>Alasan: VLSM menempatkan subnet berurutan tanpa celah, sehingga blok induk hanya /16. CIDR membulatkan setiap sisi router ke blok 2^n (misalnya sisi Utara yang hanya berisi ±25 ribu alamat menjadi /16), sehingga induknya /14. Imbalannya, CIDR membuat rute dan ACL jauh lebih ringkas.</t>
  </si>
  <si>
    <t>Tabel Revisi terhadap Lembar Jawaban UTS (23 Oktober 2026)</t>
  </si>
  <si>
    <t>Kolom 'Jawaban UTS' disalin dari foto lembar jawaban; kolom 'Perbaikan' mengambil nilai dari sheet VLSM/CIDR.</t>
  </si>
  <si>
    <t>Soal / bagian</t>
  </si>
  <si>
    <t>Jawaban UTS</t>
  </si>
  <si>
    <t>Perbaikan</t>
  </si>
  <si>
    <t>Alasan kesalahan</t>
  </si>
  <si>
    <t>Soal 5 (VLSM)</t>
  </si>
  <si>
    <t>Prefix induk VLSM</t>
  </si>
  <si>
    <t>/17</t>
  </si>
  <si>
    <t>Total blok 61.752 &gt; 32.768 (/17), sehingga butuh /16 (65.536).</t>
  </si>
  <si>
    <t>Soal 3 (VLSM)</t>
  </si>
  <si>
    <t>10.16.224.0/21 bc 10.16.230.255</t>
  </si>
  <si>
    <t>/21 memakan 8 nilai oktet ke-3 (224–231), bukan 7.</t>
  </si>
  <si>
    <t>10.16.231.0/22 bc 10.16.234.255</t>
  </si>
  <si>
    <t>Bergeser akibat baris Pegawai; network /22 harus kelipatan 4 pada oktet ke-3.</t>
  </si>
  <si>
    <t>10.16.235.0/23 bc 10.16.236.255</t>
  </si>
  <si>
    <t>Bergeser; network /23 harus kelipatan 2 pada oktet ke-3.</t>
  </si>
  <si>
    <t>10.16.237.0/24 bc 10.16.238.255</t>
  </si>
  <si>
    <t>Bergeser, dan /24 hanya memakan 1 nilai oktet ke-3.</t>
  </si>
  <si>
    <t>10.16.239.0/24 bc 10.16.240.255</t>
  </si>
  <si>
    <t>/24 hanya memakan 1 nilai oktet ke-3.</t>
  </si>
  <si>
    <t>10.16.241.0/25 bc 10.16.241.127</t>
  </si>
  <si>
    <t>Bergeser akibat baris sebelumnya.</t>
  </si>
  <si>
    <t>10.16.241.128/25 bc 10.16.241.255</t>
  </si>
  <si>
    <t>10.16.242.0/27 bc 10.16.242.32</t>
  </si>
  <si>
    <t>Bergeser; broadcast = network + 32 − 1.</t>
  </si>
  <si>
    <t>10.16.242.33/30 bc 10.16.242.36</t>
  </si>
  <si>
    <t>Network /30 harus kelipatan 4; broadcast = network + 3.</t>
  </si>
  <si>
    <t>10.16.242.37/30 bc 10.16.242.40</t>
  </si>
  <si>
    <t>Sama seperti L1.</t>
  </si>
  <si>
    <t>10.16.242.41/30 bc 10.16.242.44</t>
  </si>
  <si>
    <t>10.16.242.45/30 bc 10.16.242.48</t>
  </si>
  <si>
    <t>10.16.242.49/30 bc 10.16.242.52</t>
  </si>
  <si>
    <t>Tidak ada</t>
  </si>
  <si>
    <t>Link R-UTARA – R-PELABUHAN terlewat dari tabel.</t>
  </si>
  <si>
    <t>Soal 2 (sketsa)</t>
  </si>
  <si>
    <t>/25</t>
  </si>
  <si>
    <t>220 + 3 = 223 &gt; 128, sehingga butuh /24.</t>
  </si>
  <si>
    <t>Soal 4a (CIDR)</t>
  </si>
  <si>
    <t>Pohon penggabungan</t>
  </si>
  <si>
    <t>Induk /15; ukuran sisi router tidak sesuai</t>
  </si>
  <si>
    <t>Total sisi 135.168 alamat &gt; 131.072 (/15), sehingga induk harus /14.</t>
  </si>
  <si>
    <t>Soal 4b (CIDR)</t>
  </si>
  <si>
    <t>Tabel alokasi CIDR</t>
  </si>
  <si>
    <t>Belum diisi</t>
  </si>
  <si>
    <t>Lihat sheet CIDR</t>
  </si>
  <si>
    <t>Dilengkapi dari pohon penggabungan yang diperbaiki.</t>
  </si>
  <si>
    <t>Soal 5a</t>
  </si>
  <si>
    <t>Pemakaian VLSM 64,23% lebih besar dari CIDR 16,06%.</t>
  </si>
  <si>
    <t>Soal 1a</t>
  </si>
  <si>
    <t>Alasan rentang privat</t>
  </si>
  <si>
    <t>Belum ditulis</t>
  </si>
  <si>
    <t>Lihat sheet Info (aturan terakhir)</t>
  </si>
  <si>
    <t>Soal meminta alasan memilih rentang privat.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</si>
</sst>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color rgb="FF1F4E79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1"/>
      <color rgb="FF1F4E79"/>
      <name val="Arial"/>
      <charset val="1"/>
    </font>
    <font>
      <b/>
      <sz val="10"/>
      <name val="Arial"/>
      <charset val="1"/>
    </font>
    <font>
      <sz val="9"/>
      <color rgb="FF59595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7F7F7F"/>
        <bgColor rgb="FF969696"/>
      </patternFill>
    </fill>
    <fill>
      <patternFill patternType="solid">
        <fgColor rgb="FFF2F2F2"/>
        <bgColor rgb="FFF7FAFD"/>
      </patternFill>
    </fill>
    <fill>
      <patternFill patternType="solid">
        <fgColor rgb="FFF7FAFD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0" borderId="0" xfId="0" applyFont="1"/>
    <xf numFmtId="0" fontId="4" fillId="0" borderId="1" xfId="0" applyFont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/>
    <xf numFmtId="3" fontId="7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3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7" fillId="0" borderId="0" xfId="0" applyFont="1"/>
    <xf numFmtId="1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AF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7"/>
  <sheetViews>
    <sheetView showGridLines="0" zoomScaleNormal="100" workbookViewId="0"/>
  </sheetViews>
  <sheetFormatPr defaultColWidth="8.6328125" defaultRowHeight="14.5" x14ac:dyDescent="0.35"/>
  <cols>
    <col min="1" max="1" width="42" customWidth="1"/>
    <col min="2" max="2" width="70" customWidth="1"/>
  </cols>
  <sheetData>
    <row r="1" spans="1:2" ht="16.5" x14ac:dyDescent="0.35">
      <c r="A1" s="3" t="s">
        <v>0</v>
      </c>
    </row>
    <row r="2" spans="1:2" x14ac:dyDescent="0.35">
      <c r="A2" s="4" t="s">
        <v>1</v>
      </c>
    </row>
    <row r="3" spans="1:2" x14ac:dyDescent="0.35">
      <c r="A3" s="5" t="s">
        <v>2</v>
      </c>
      <c r="B3" s="5" t="s">
        <v>3</v>
      </c>
    </row>
    <row r="4" spans="1:2" x14ac:dyDescent="0.35">
      <c r="A4" s="6" t="s">
        <v>4</v>
      </c>
      <c r="B4" s="7">
        <v>2</v>
      </c>
    </row>
    <row r="5" spans="1:2" x14ac:dyDescent="0.35">
      <c r="A5" s="6" t="s">
        <v>5</v>
      </c>
      <c r="B5" s="6">
        <f>8*B4</f>
        <v>16</v>
      </c>
    </row>
    <row r="6" spans="1:2" x14ac:dyDescent="0.35">
      <c r="A6" s="6" t="s">
        <v>6</v>
      </c>
      <c r="B6" s="6" t="str">
        <f>"10."&amp;B5&amp;".0.0"</f>
        <v>10.16.0.0</v>
      </c>
    </row>
    <row r="7" spans="1:2" x14ac:dyDescent="0.35">
      <c r="A7" s="6" t="s">
        <v>7</v>
      </c>
      <c r="B7" s="7" t="s">
        <v>8</v>
      </c>
    </row>
    <row r="8" spans="1:2" x14ac:dyDescent="0.35">
      <c r="A8" s="6" t="s">
        <v>9</v>
      </c>
      <c r="B8" s="6" t="str">
        <f>"203.0.113."&amp;(4*B4)&amp;"/30"</f>
        <v>203.0.113.8/30</v>
      </c>
    </row>
    <row r="9" spans="1:2" x14ac:dyDescent="0.35">
      <c r="A9" s="6" t="s">
        <v>10</v>
      </c>
      <c r="B9" s="6" t="s">
        <v>11</v>
      </c>
    </row>
    <row r="10" spans="1:2" x14ac:dyDescent="0.35">
      <c r="A10" s="6" t="s">
        <v>12</v>
      </c>
      <c r="B10" s="6" t="str">
        <f>"192.168."&amp;B4&amp;".0/30 (R-PUSAT .1, R-PELABUHAN .2)"</f>
        <v>192.168.2.0/30 (R-PUSAT .1, R-PELABUHAN .2)</v>
      </c>
    </row>
    <row r="11" spans="1:2" x14ac:dyDescent="0.35">
      <c r="A11" s="6" t="s">
        <v>13</v>
      </c>
      <c r="B11" s="6" t="str">
        <f>"k"&amp;B4&amp;".smartcity.lab"</f>
        <v>k2.smartcity.lab</v>
      </c>
    </row>
    <row r="14" spans="1:2" x14ac:dyDescent="0.35">
      <c r="A14" s="8" t="s">
        <v>14</v>
      </c>
    </row>
    <row r="15" spans="1:2" x14ac:dyDescent="0.35">
      <c r="A15" s="5" t="s">
        <v>15</v>
      </c>
      <c r="B15" s="5" t="s">
        <v>16</v>
      </c>
    </row>
    <row r="16" spans="1:2" x14ac:dyDescent="0.35">
      <c r="A16" s="6" t="s">
        <v>17</v>
      </c>
      <c r="B16" s="6" t="s">
        <v>18</v>
      </c>
    </row>
    <row r="17" spans="1:2" x14ac:dyDescent="0.35">
      <c r="A17" s="6" t="s">
        <v>19</v>
      </c>
      <c r="B17" s="6" t="s">
        <v>20</v>
      </c>
    </row>
    <row r="18" spans="1:2" x14ac:dyDescent="0.35">
      <c r="A18" s="6" t="s">
        <v>21</v>
      </c>
      <c r="B18" s="6" t="s">
        <v>22</v>
      </c>
    </row>
    <row r="20" spans="1:2" x14ac:dyDescent="0.35">
      <c r="A20" s="8" t="s">
        <v>23</v>
      </c>
    </row>
    <row r="21" spans="1:2" ht="27.75" customHeight="1" x14ac:dyDescent="0.35">
      <c r="A21" s="2" t="s">
        <v>24</v>
      </c>
      <c r="B21" s="2"/>
    </row>
    <row r="22" spans="1:2" ht="27.75" customHeight="1" x14ac:dyDescent="0.35">
      <c r="A22" s="2" t="s">
        <v>25</v>
      </c>
      <c r="B22" s="2"/>
    </row>
    <row r="23" spans="1:2" ht="27.75" customHeight="1" x14ac:dyDescent="0.35">
      <c r="A23" s="2" t="s">
        <v>26</v>
      </c>
      <c r="B23" s="2"/>
    </row>
    <row r="24" spans="1:2" ht="27.75" customHeight="1" x14ac:dyDescent="0.35">
      <c r="A24" s="2" t="s">
        <v>27</v>
      </c>
      <c r="B24" s="2"/>
    </row>
    <row r="25" spans="1:2" ht="27.75" customHeight="1" x14ac:dyDescent="0.35">
      <c r="A25" s="2" t="s">
        <v>28</v>
      </c>
      <c r="B25" s="2"/>
    </row>
    <row r="26" spans="1:2" ht="27.75" customHeight="1" x14ac:dyDescent="0.35">
      <c r="A26" s="2" t="s">
        <v>29</v>
      </c>
      <c r="B26" s="2"/>
    </row>
    <row r="27" spans="1:2" ht="27.75" customHeight="1" x14ac:dyDescent="0.35">
      <c r="A27" s="2" t="s">
        <v>30</v>
      </c>
      <c r="B27" s="2"/>
    </row>
  </sheetData>
  <mergeCells count="7">
    <mergeCell ref="A26:B26"/>
    <mergeCell ref="A27:B27"/>
    <mergeCell ref="A21:B21"/>
    <mergeCell ref="A22:B22"/>
    <mergeCell ref="A23:B23"/>
    <mergeCell ref="A24:B24"/>
    <mergeCell ref="A25:B25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24" customWidth="1"/>
    <col min="3" max="3" width="30" customWidth="1"/>
    <col min="4" max="4" width="8" customWidth="1"/>
    <col min="5" max="5" width="10" customWidth="1"/>
    <col min="6" max="6" width="12" customWidth="1"/>
    <col min="7" max="7" width="13" customWidth="1"/>
    <col min="8" max="8" width="8" customWidth="1"/>
    <col min="9" max="9" width="18" customWidth="1"/>
  </cols>
  <sheetData>
    <row r="1" spans="1:9" ht="16.5" x14ac:dyDescent="0.35">
      <c r="A1" s="3" t="s">
        <v>31</v>
      </c>
    </row>
    <row r="2" spans="1:9" x14ac:dyDescent="0.35">
      <c r="A2" s="4" t="s">
        <v>32</v>
      </c>
    </row>
    <row r="4" spans="1:9" x14ac:dyDescent="0.35">
      <c r="A4" s="5" t="s">
        <v>33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41</v>
      </c>
    </row>
    <row r="5" spans="1:9" x14ac:dyDescent="0.35">
      <c r="A5" s="9">
        <v>1</v>
      </c>
      <c r="B5" s="6" t="s">
        <v>42</v>
      </c>
      <c r="C5" s="6" t="s">
        <v>43</v>
      </c>
      <c r="D5" s="9" t="s">
        <v>44</v>
      </c>
      <c r="E5" s="10">
        <v>1800</v>
      </c>
      <c r="F5" s="11">
        <f t="shared" ref="F5:F24" si="0">IF(D5="Link",E5+2,E5+3)</f>
        <v>1803</v>
      </c>
      <c r="G5" s="11">
        <f t="shared" ref="G5:G24" si="1">2^CEILING(ROUND(LOG(F5,2),9),1)</f>
        <v>2048</v>
      </c>
      <c r="H5" s="9">
        <f t="shared" ref="H5:H24" si="2">32-ROUND(LOG(G5,2),0)</f>
        <v>21</v>
      </c>
      <c r="I5" s="9" t="str">
        <f t="shared" ref="I5:I24" si="3">(256-2^(8-MIN(8,MAX(0,H5-0))))&amp;"."&amp;(256-2^(8-MIN(8,MAX(0,H5-8))))&amp;"."&amp;(256-2^(8-MIN(8,MAX(0,H5-16))))&amp;"."&amp;(256-2^(8-MIN(8,MAX(0,H5-24))))</f>
        <v>255.255.248.0</v>
      </c>
    </row>
    <row r="6" spans="1:9" x14ac:dyDescent="0.35">
      <c r="A6" s="9">
        <v>2</v>
      </c>
      <c r="B6" s="6" t="s">
        <v>42</v>
      </c>
      <c r="C6" s="6" t="s">
        <v>45</v>
      </c>
      <c r="D6" s="9" t="s">
        <v>44</v>
      </c>
      <c r="E6" s="10">
        <v>20</v>
      </c>
      <c r="F6" s="11">
        <f t="shared" si="0"/>
        <v>23</v>
      </c>
      <c r="G6" s="11">
        <f t="shared" si="1"/>
        <v>32</v>
      </c>
      <c r="H6" s="9">
        <f t="shared" si="2"/>
        <v>27</v>
      </c>
      <c r="I6" s="9" t="str">
        <f t="shared" si="3"/>
        <v>255.255.255.224</v>
      </c>
    </row>
    <row r="7" spans="1:9" x14ac:dyDescent="0.35">
      <c r="A7" s="9">
        <v>3</v>
      </c>
      <c r="B7" s="6" t="s">
        <v>46</v>
      </c>
      <c r="C7" s="6" t="s">
        <v>47</v>
      </c>
      <c r="D7" s="9" t="s">
        <v>44</v>
      </c>
      <c r="E7" s="10">
        <v>6000</v>
      </c>
      <c r="F7" s="11">
        <f t="shared" si="0"/>
        <v>6003</v>
      </c>
      <c r="G7" s="11">
        <f t="shared" si="1"/>
        <v>8192</v>
      </c>
      <c r="H7" s="9">
        <f t="shared" si="2"/>
        <v>19</v>
      </c>
      <c r="I7" s="9" t="str">
        <f t="shared" si="3"/>
        <v>255.255.224.0</v>
      </c>
    </row>
    <row r="8" spans="1:9" x14ac:dyDescent="0.35">
      <c r="A8" s="9">
        <v>4</v>
      </c>
      <c r="B8" s="6" t="s">
        <v>46</v>
      </c>
      <c r="C8" s="6" t="s">
        <v>48</v>
      </c>
      <c r="D8" s="9" t="s">
        <v>44</v>
      </c>
      <c r="E8" s="10">
        <v>180</v>
      </c>
      <c r="F8" s="11">
        <f t="shared" si="0"/>
        <v>183</v>
      </c>
      <c r="G8" s="11">
        <f t="shared" si="1"/>
        <v>256</v>
      </c>
      <c r="H8" s="9">
        <f t="shared" si="2"/>
        <v>24</v>
      </c>
      <c r="I8" s="9" t="str">
        <f t="shared" si="3"/>
        <v>255.255.255.0</v>
      </c>
    </row>
    <row r="9" spans="1:9" x14ac:dyDescent="0.35">
      <c r="A9" s="9">
        <v>5</v>
      </c>
      <c r="B9" s="6" t="s">
        <v>49</v>
      </c>
      <c r="C9" s="6" t="s">
        <v>50</v>
      </c>
      <c r="D9" s="9" t="s">
        <v>44</v>
      </c>
      <c r="E9" s="10">
        <v>11000</v>
      </c>
      <c r="F9" s="11">
        <f t="shared" si="0"/>
        <v>11003</v>
      </c>
      <c r="G9" s="11">
        <f t="shared" si="1"/>
        <v>16384</v>
      </c>
      <c r="H9" s="9">
        <f t="shared" si="2"/>
        <v>18</v>
      </c>
      <c r="I9" s="9" t="str">
        <f t="shared" si="3"/>
        <v>255.255.192.0</v>
      </c>
    </row>
    <row r="10" spans="1:9" x14ac:dyDescent="0.35">
      <c r="A10" s="9">
        <v>6</v>
      </c>
      <c r="B10" s="6" t="s">
        <v>49</v>
      </c>
      <c r="C10" s="6" t="s">
        <v>51</v>
      </c>
      <c r="D10" s="9" t="s">
        <v>44</v>
      </c>
      <c r="E10" s="10">
        <v>450</v>
      </c>
      <c r="F10" s="11">
        <f t="shared" si="0"/>
        <v>453</v>
      </c>
      <c r="G10" s="11">
        <f t="shared" si="1"/>
        <v>512</v>
      </c>
      <c r="H10" s="9">
        <f t="shared" si="2"/>
        <v>23</v>
      </c>
      <c r="I10" s="9" t="str">
        <f t="shared" si="3"/>
        <v>255.255.254.0</v>
      </c>
    </row>
    <row r="11" spans="1:9" x14ac:dyDescent="0.35">
      <c r="A11" s="9">
        <v>7</v>
      </c>
      <c r="B11" s="6" t="s">
        <v>52</v>
      </c>
      <c r="C11" s="6" t="s">
        <v>53</v>
      </c>
      <c r="D11" s="9" t="s">
        <v>44</v>
      </c>
      <c r="E11" s="10">
        <v>5000</v>
      </c>
      <c r="F11" s="11">
        <f t="shared" si="0"/>
        <v>5003</v>
      </c>
      <c r="G11" s="11">
        <f t="shared" si="1"/>
        <v>8192</v>
      </c>
      <c r="H11" s="9">
        <f t="shared" si="2"/>
        <v>19</v>
      </c>
      <c r="I11" s="9" t="str">
        <f t="shared" si="3"/>
        <v>255.255.224.0</v>
      </c>
    </row>
    <row r="12" spans="1:9" x14ac:dyDescent="0.35">
      <c r="A12" s="9">
        <v>8</v>
      </c>
      <c r="B12" s="6" t="s">
        <v>52</v>
      </c>
      <c r="C12" s="6" t="s">
        <v>54</v>
      </c>
      <c r="D12" s="9" t="s">
        <v>44</v>
      </c>
      <c r="E12" s="10">
        <v>120</v>
      </c>
      <c r="F12" s="11">
        <f t="shared" si="0"/>
        <v>123</v>
      </c>
      <c r="G12" s="11">
        <f t="shared" si="1"/>
        <v>128</v>
      </c>
      <c r="H12" s="9">
        <f t="shared" si="2"/>
        <v>25</v>
      </c>
      <c r="I12" s="9" t="str">
        <f t="shared" si="3"/>
        <v>255.255.255.128</v>
      </c>
    </row>
    <row r="13" spans="1:9" x14ac:dyDescent="0.35">
      <c r="A13" s="9">
        <v>9</v>
      </c>
      <c r="B13" s="6" t="s">
        <v>55</v>
      </c>
      <c r="C13" s="6" t="s">
        <v>56</v>
      </c>
      <c r="D13" s="9" t="s">
        <v>44</v>
      </c>
      <c r="E13" s="10">
        <v>6500</v>
      </c>
      <c r="F13" s="11">
        <f t="shared" si="0"/>
        <v>6503</v>
      </c>
      <c r="G13" s="11">
        <f t="shared" si="1"/>
        <v>8192</v>
      </c>
      <c r="H13" s="9">
        <f t="shared" si="2"/>
        <v>19</v>
      </c>
      <c r="I13" s="9" t="str">
        <f t="shared" si="3"/>
        <v>255.255.224.0</v>
      </c>
    </row>
    <row r="14" spans="1:9" x14ac:dyDescent="0.35">
      <c r="A14" s="9">
        <v>10</v>
      </c>
      <c r="B14" s="6" t="s">
        <v>55</v>
      </c>
      <c r="C14" s="6" t="s">
        <v>57</v>
      </c>
      <c r="D14" s="9" t="s">
        <v>44</v>
      </c>
      <c r="E14" s="10">
        <v>90</v>
      </c>
      <c r="F14" s="11">
        <f t="shared" si="0"/>
        <v>93</v>
      </c>
      <c r="G14" s="11">
        <f t="shared" si="1"/>
        <v>128</v>
      </c>
      <c r="H14" s="9">
        <f t="shared" si="2"/>
        <v>25</v>
      </c>
      <c r="I14" s="9" t="str">
        <f t="shared" si="3"/>
        <v>255.255.255.128</v>
      </c>
    </row>
    <row r="15" spans="1:9" x14ac:dyDescent="0.35">
      <c r="A15" s="9">
        <v>11</v>
      </c>
      <c r="B15" s="6" t="s">
        <v>58</v>
      </c>
      <c r="C15" s="6" t="s">
        <v>59</v>
      </c>
      <c r="D15" s="9" t="s">
        <v>44</v>
      </c>
      <c r="E15" s="10">
        <v>5500</v>
      </c>
      <c r="F15" s="11">
        <f t="shared" si="0"/>
        <v>5503</v>
      </c>
      <c r="G15" s="11">
        <f t="shared" si="1"/>
        <v>8192</v>
      </c>
      <c r="H15" s="9">
        <f t="shared" si="2"/>
        <v>19</v>
      </c>
      <c r="I15" s="9" t="str">
        <f t="shared" si="3"/>
        <v>255.255.224.0</v>
      </c>
    </row>
    <row r="16" spans="1:9" x14ac:dyDescent="0.35">
      <c r="A16" s="9">
        <v>12</v>
      </c>
      <c r="B16" s="6" t="s">
        <v>58</v>
      </c>
      <c r="C16" s="6" t="s">
        <v>60</v>
      </c>
      <c r="D16" s="9" t="s">
        <v>44</v>
      </c>
      <c r="E16" s="10">
        <v>700</v>
      </c>
      <c r="F16" s="11">
        <f t="shared" si="0"/>
        <v>703</v>
      </c>
      <c r="G16" s="11">
        <f t="shared" si="1"/>
        <v>1024</v>
      </c>
      <c r="H16" s="9">
        <f t="shared" si="2"/>
        <v>22</v>
      </c>
      <c r="I16" s="9" t="str">
        <f t="shared" si="3"/>
        <v>255.255.252.0</v>
      </c>
    </row>
    <row r="17" spans="1:9" x14ac:dyDescent="0.35">
      <c r="A17" s="9">
        <v>13</v>
      </c>
      <c r="B17" s="6" t="s">
        <v>61</v>
      </c>
      <c r="C17" s="6" t="s">
        <v>62</v>
      </c>
      <c r="D17" s="9" t="s">
        <v>44</v>
      </c>
      <c r="E17" s="10">
        <v>4500</v>
      </c>
      <c r="F17" s="11">
        <f t="shared" si="0"/>
        <v>4503</v>
      </c>
      <c r="G17" s="11">
        <f t="shared" si="1"/>
        <v>8192</v>
      </c>
      <c r="H17" s="9">
        <f t="shared" si="2"/>
        <v>19</v>
      </c>
      <c r="I17" s="9" t="str">
        <f t="shared" si="3"/>
        <v>255.255.224.0</v>
      </c>
    </row>
    <row r="18" spans="1:9" x14ac:dyDescent="0.35">
      <c r="A18" s="9">
        <v>14</v>
      </c>
      <c r="B18" s="6" t="s">
        <v>61</v>
      </c>
      <c r="C18" s="6" t="s">
        <v>63</v>
      </c>
      <c r="D18" s="9" t="s">
        <v>44</v>
      </c>
      <c r="E18" s="10">
        <v>220</v>
      </c>
      <c r="F18" s="11">
        <f t="shared" si="0"/>
        <v>223</v>
      </c>
      <c r="G18" s="11">
        <f t="shared" si="1"/>
        <v>256</v>
      </c>
      <c r="H18" s="9">
        <f t="shared" si="2"/>
        <v>24</v>
      </c>
      <c r="I18" s="9" t="str">
        <f t="shared" si="3"/>
        <v>255.255.255.0</v>
      </c>
    </row>
    <row r="19" spans="1:9" x14ac:dyDescent="0.35">
      <c r="A19" s="9">
        <v>15</v>
      </c>
      <c r="B19" s="6" t="s">
        <v>64</v>
      </c>
      <c r="C19" s="6" t="s">
        <v>65</v>
      </c>
      <c r="D19" s="9" t="s">
        <v>66</v>
      </c>
      <c r="E19" s="10">
        <v>2</v>
      </c>
      <c r="F19" s="11">
        <f t="shared" si="0"/>
        <v>4</v>
      </c>
      <c r="G19" s="11">
        <f t="shared" si="1"/>
        <v>4</v>
      </c>
      <c r="H19" s="9">
        <f t="shared" si="2"/>
        <v>30</v>
      </c>
      <c r="I19" s="9" t="str">
        <f t="shared" si="3"/>
        <v>255.255.255.252</v>
      </c>
    </row>
    <row r="20" spans="1:9" x14ac:dyDescent="0.35">
      <c r="A20" s="9">
        <v>16</v>
      </c>
      <c r="B20" s="6" t="s">
        <v>67</v>
      </c>
      <c r="C20" s="6" t="s">
        <v>68</v>
      </c>
      <c r="D20" s="9" t="s">
        <v>66</v>
      </c>
      <c r="E20" s="10">
        <v>2</v>
      </c>
      <c r="F20" s="11">
        <f t="shared" si="0"/>
        <v>4</v>
      </c>
      <c r="G20" s="11">
        <f t="shared" si="1"/>
        <v>4</v>
      </c>
      <c r="H20" s="9">
        <f t="shared" si="2"/>
        <v>30</v>
      </c>
      <c r="I20" s="9" t="str">
        <f t="shared" si="3"/>
        <v>255.255.255.252</v>
      </c>
    </row>
    <row r="21" spans="1:9" x14ac:dyDescent="0.35">
      <c r="A21" s="9">
        <v>17</v>
      </c>
      <c r="B21" s="6" t="s">
        <v>69</v>
      </c>
      <c r="C21" s="6" t="s">
        <v>70</v>
      </c>
      <c r="D21" s="9" t="s">
        <v>66</v>
      </c>
      <c r="E21" s="10">
        <v>2</v>
      </c>
      <c r="F21" s="11">
        <f t="shared" si="0"/>
        <v>4</v>
      </c>
      <c r="G21" s="11">
        <f t="shared" si="1"/>
        <v>4</v>
      </c>
      <c r="H21" s="9">
        <f t="shared" si="2"/>
        <v>30</v>
      </c>
      <c r="I21" s="9" t="str">
        <f t="shared" si="3"/>
        <v>255.255.255.252</v>
      </c>
    </row>
    <row r="22" spans="1:9" x14ac:dyDescent="0.35">
      <c r="A22" s="9">
        <v>18</v>
      </c>
      <c r="B22" s="6" t="s">
        <v>71</v>
      </c>
      <c r="C22" s="6" t="s">
        <v>72</v>
      </c>
      <c r="D22" s="9" t="s">
        <v>66</v>
      </c>
      <c r="E22" s="10">
        <v>2</v>
      </c>
      <c r="F22" s="11">
        <f t="shared" si="0"/>
        <v>4</v>
      </c>
      <c r="G22" s="11">
        <f t="shared" si="1"/>
        <v>4</v>
      </c>
      <c r="H22" s="9">
        <f t="shared" si="2"/>
        <v>30</v>
      </c>
      <c r="I22" s="9" t="str">
        <f t="shared" si="3"/>
        <v>255.255.255.252</v>
      </c>
    </row>
    <row r="23" spans="1:9" x14ac:dyDescent="0.35">
      <c r="A23" s="9">
        <v>19</v>
      </c>
      <c r="B23" s="6" t="s">
        <v>73</v>
      </c>
      <c r="C23" s="6" t="s">
        <v>74</v>
      </c>
      <c r="D23" s="9" t="s">
        <v>66</v>
      </c>
      <c r="E23" s="10">
        <v>2</v>
      </c>
      <c r="F23" s="11">
        <f t="shared" si="0"/>
        <v>4</v>
      </c>
      <c r="G23" s="11">
        <f t="shared" si="1"/>
        <v>4</v>
      </c>
      <c r="H23" s="9">
        <f t="shared" si="2"/>
        <v>30</v>
      </c>
      <c r="I23" s="9" t="str">
        <f t="shared" si="3"/>
        <v>255.255.255.252</v>
      </c>
    </row>
    <row r="24" spans="1:9" x14ac:dyDescent="0.35">
      <c r="A24" s="9">
        <v>20</v>
      </c>
      <c r="B24" s="6" t="s">
        <v>75</v>
      </c>
      <c r="C24" s="6" t="s">
        <v>76</v>
      </c>
      <c r="D24" s="9" t="s">
        <v>66</v>
      </c>
      <c r="E24" s="10">
        <v>2</v>
      </c>
      <c r="F24" s="11">
        <f t="shared" si="0"/>
        <v>4</v>
      </c>
      <c r="G24" s="11">
        <f t="shared" si="1"/>
        <v>4</v>
      </c>
      <c r="H24" s="9">
        <f t="shared" si="2"/>
        <v>30</v>
      </c>
      <c r="I24" s="9" t="str">
        <f t="shared" si="3"/>
        <v>255.255.255.252</v>
      </c>
    </row>
    <row r="25" spans="1:9" x14ac:dyDescent="0.35">
      <c r="A25" s="12"/>
      <c r="B25" s="12"/>
      <c r="C25" s="12" t="s">
        <v>77</v>
      </c>
      <c r="D25" s="12"/>
      <c r="E25" s="13">
        <f>SUM(E5:E24)</f>
        <v>42092</v>
      </c>
      <c r="F25" s="13">
        <f>SUM(F5:F24)</f>
        <v>42146</v>
      </c>
      <c r="G25" s="13">
        <f>SUM(G5:G24)</f>
        <v>61752</v>
      </c>
      <c r="H25" s="12"/>
      <c r="I25" s="12"/>
    </row>
  </sheetData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showGridLines="0" zoomScaleNormal="100"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L17" sqref="L17"/>
    </sheetView>
  </sheetViews>
  <sheetFormatPr defaultColWidth="8.6328125" defaultRowHeight="14.5" x14ac:dyDescent="0.35"/>
  <cols>
    <col min="1" max="1" width="5" customWidth="1"/>
    <col min="2" max="2" width="28" customWidth="1"/>
    <col min="3" max="3" width="22" customWidth="1"/>
    <col min="4" max="4" width="15" customWidth="1"/>
    <col min="5" max="5" width="8" customWidth="1"/>
    <col min="6" max="6" width="16" customWidth="1"/>
    <col min="7" max="7" width="30" customWidth="1"/>
    <col min="8" max="8" width="15" customWidth="1"/>
    <col min="9" max="9" width="14" customWidth="1"/>
    <col min="10" max="10" width="9" customWidth="1"/>
    <col min="11" max="11" width="11" customWidth="1"/>
    <col min="12" max="12" width="10" customWidth="1"/>
    <col min="13" max="13" width="13" customWidth="1"/>
    <col min="14" max="14" width="10" customWidth="1"/>
  </cols>
  <sheetData>
    <row r="1" spans="1:14" ht="16.5" x14ac:dyDescent="0.35">
      <c r="A1" s="3" t="s">
        <v>78</v>
      </c>
    </row>
    <row r="2" spans="1:14" x14ac:dyDescent="0.35">
      <c r="A2" s="4" t="s">
        <v>79</v>
      </c>
    </row>
    <row r="3" spans="1:14" x14ac:dyDescent="0.35">
      <c r="J3" s="4" t="s">
        <v>80</v>
      </c>
    </row>
    <row r="4" spans="1:14" ht="26" x14ac:dyDescent="0.35">
      <c r="A4" s="5" t="s">
        <v>33</v>
      </c>
      <c r="B4" s="5" t="s">
        <v>81</v>
      </c>
      <c r="C4" s="5" t="s">
        <v>82</v>
      </c>
      <c r="D4" s="5" t="s">
        <v>83</v>
      </c>
      <c r="E4" s="5" t="s">
        <v>40</v>
      </c>
      <c r="F4" s="5" t="s">
        <v>41</v>
      </c>
      <c r="G4" s="5" t="s">
        <v>84</v>
      </c>
      <c r="H4" s="5" t="s">
        <v>85</v>
      </c>
      <c r="I4" s="5" t="s">
        <v>86</v>
      </c>
      <c r="J4" s="14" t="s">
        <v>37</v>
      </c>
      <c r="K4" s="14" t="s">
        <v>39</v>
      </c>
      <c r="L4" s="14" t="s">
        <v>87</v>
      </c>
      <c r="M4" s="14" t="s">
        <v>88</v>
      </c>
      <c r="N4" s="14" t="s">
        <v>89</v>
      </c>
    </row>
    <row r="5" spans="1:14" x14ac:dyDescent="0.35">
      <c r="A5" s="9">
        <v>1</v>
      </c>
      <c r="B5" s="6" t="s">
        <v>50</v>
      </c>
      <c r="C5" s="6" t="str">
        <f>INDEX(Kebutuhan!$B$5:$B$24,MATCH($B5,Kebutuhan!$C$5:$C$24,0))</f>
        <v>R-UTARA</v>
      </c>
      <c r="D5" s="9" t="str">
        <f>"10."&amp;(Info!$B$5+INT((L5)/65536))&amp;"."&amp;INT(MOD((L5),65536)/256)&amp;"."&amp;MOD((L5),256)</f>
        <v>10.16.0.0</v>
      </c>
      <c r="E5" s="9" t="str">
        <f>"/"&amp;INDEX(Kebutuhan!$H$5:$H$24,MATCH($B5,Kebutuhan!$C$5:$C$24,0))</f>
        <v>/18</v>
      </c>
      <c r="F5" s="9" t="str">
        <f>INDEX(Kebutuhan!$I$5:$I$24,MATCH($B5,Kebutuhan!$C$5:$C$24,0))</f>
        <v>255.255.192.0</v>
      </c>
      <c r="G5" s="9" t="str">
        <f>"10."&amp;(Info!$B$5+INT((L5+1)/65536))&amp;"."&amp;INT(MOD((L5+1),65536)/256)&amp;"."&amp;MOD((L5+1),256)&amp;" – "&amp;"10."&amp;(Info!$B$5+INT((L5+K5-2)/65536))&amp;"."&amp;INT(MOD((L5+K5-2),65536)/256)&amp;"."&amp;MOD((L5+K5-2),256)</f>
        <v>10.16.0.1 – 10.16.63.254</v>
      </c>
      <c r="H5" s="9" t="str">
        <f>"10."&amp;(Info!$B$5+INT((L5+K5-1)/65536))&amp;"."&amp;INT(MOD((L5+K5-1),65536)/256)&amp;"."&amp;MOD((L5+K5-1),256)</f>
        <v>10.16.63.255</v>
      </c>
      <c r="I5" s="9" t="str">
        <f>IF(INDEX(Kebutuhan!$D$5:$D$24,MATCH($B5,Kebutuhan!$C$5:$C$24,0))="Link","—","10."&amp;(Info!$B$5+INT((L5+1)/65536))&amp;"."&amp;INT(MOD((L5+1),65536)/256)&amp;"."&amp;MOD((L5+1),256))</f>
        <v>10.16.0.1</v>
      </c>
      <c r="J5" s="15">
        <f>INDEX(Kebutuhan!$E$5:$E$24,MATCH($B5,Kebutuhan!$C$5:$C$24,0))</f>
        <v>11000</v>
      </c>
      <c r="K5" s="15">
        <f>INDEX(Kebutuhan!$G$5:$G$24,MATCH($B5,Kebutuhan!$C$5:$C$24,0))</f>
        <v>16384</v>
      </c>
      <c r="L5" s="15">
        <v>0</v>
      </c>
      <c r="M5" s="16" t="str">
        <f t="shared" ref="M5:M24" si="0">IF(MOD(L5,K5)=0,"OK","TIDAK ALIGNED")</f>
        <v>OK</v>
      </c>
      <c r="N5" s="16" t="s">
        <v>90</v>
      </c>
    </row>
    <row r="6" spans="1:14" x14ac:dyDescent="0.35">
      <c r="A6" s="17">
        <v>2</v>
      </c>
      <c r="B6" s="18" t="s">
        <v>56</v>
      </c>
      <c r="C6" s="18" t="str">
        <f>INDEX(Kebutuhan!$B$5:$B$24,MATCH($B6,Kebutuhan!$C$5:$C$24,0))</f>
        <v>R-SELATAN</v>
      </c>
      <c r="D6" s="17" t="str">
        <f>"10."&amp;(Info!$B$5+INT((L6)/65536))&amp;"."&amp;INT(MOD((L6),65536)/256)&amp;"."&amp;MOD((L6),256)</f>
        <v>10.16.64.0</v>
      </c>
      <c r="E6" s="17" t="str">
        <f>"/"&amp;INDEX(Kebutuhan!$H$5:$H$24,MATCH($B6,Kebutuhan!$C$5:$C$24,0))</f>
        <v>/19</v>
      </c>
      <c r="F6" s="17" t="str">
        <f>INDEX(Kebutuhan!$I$5:$I$24,MATCH($B6,Kebutuhan!$C$5:$C$24,0))</f>
        <v>255.255.224.0</v>
      </c>
      <c r="G6" s="17" t="str">
        <f>"10."&amp;(Info!$B$5+INT((L6+1)/65536))&amp;"."&amp;INT(MOD((L6+1),65536)/256)&amp;"."&amp;MOD((L6+1),256)&amp;" – "&amp;"10."&amp;(Info!$B$5+INT((L6+K6-2)/65536))&amp;"."&amp;INT(MOD((L6+K6-2),65536)/256)&amp;"."&amp;MOD((L6+K6-2),256)</f>
        <v>10.16.64.1 – 10.16.95.254</v>
      </c>
      <c r="H6" s="17" t="str">
        <f>"10."&amp;(Info!$B$5+INT((L6+K6-1)/65536))&amp;"."&amp;INT(MOD((L6+K6-1),65536)/256)&amp;"."&amp;MOD((L6+K6-1),256)</f>
        <v>10.16.95.255</v>
      </c>
      <c r="I6" s="17" t="str">
        <f>IF(INDEX(Kebutuhan!$D$5:$D$24,MATCH($B6,Kebutuhan!$C$5:$C$24,0))="Link","—","10."&amp;(Info!$B$5+INT((L6+1)/65536))&amp;"."&amp;INT(MOD((L6+1),65536)/256)&amp;"."&amp;MOD((L6+1),256))</f>
        <v>10.16.64.1</v>
      </c>
      <c r="J6" s="15">
        <f>INDEX(Kebutuhan!$E$5:$E$24,MATCH($B6,Kebutuhan!$C$5:$C$24,0))</f>
        <v>6500</v>
      </c>
      <c r="K6" s="15">
        <f>INDEX(Kebutuhan!$G$5:$G$24,MATCH($B6,Kebutuhan!$C$5:$C$24,0))</f>
        <v>8192</v>
      </c>
      <c r="L6" s="15">
        <f t="shared" ref="L6:L24" si="1">L5+K5</f>
        <v>16384</v>
      </c>
      <c r="M6" s="16" t="str">
        <f t="shared" si="0"/>
        <v>OK</v>
      </c>
      <c r="N6" s="16" t="str">
        <f t="shared" ref="N6:N24" si="2">IF(L6&gt;=L5+K5,"OK","OVERLAP")</f>
        <v>OK</v>
      </c>
    </row>
    <row r="7" spans="1:14" x14ac:dyDescent="0.35">
      <c r="A7" s="9">
        <v>3</v>
      </c>
      <c r="B7" s="6" t="s">
        <v>47</v>
      </c>
      <c r="C7" s="6" t="str">
        <f>INDEX(Kebutuhan!$B$5:$B$24,MATCH($B7,Kebutuhan!$C$5:$C$24,0))</f>
        <v>R-DC</v>
      </c>
      <c r="D7" s="9" t="str">
        <f>"10."&amp;(Info!$B$5+INT((L7)/65536))&amp;"."&amp;INT(MOD((L7),65536)/256)&amp;"."&amp;MOD((L7),256)</f>
        <v>10.16.96.0</v>
      </c>
      <c r="E7" s="9" t="str">
        <f>"/"&amp;INDEX(Kebutuhan!$H$5:$H$24,MATCH($B7,Kebutuhan!$C$5:$C$24,0))</f>
        <v>/19</v>
      </c>
      <c r="F7" s="9" t="str">
        <f>INDEX(Kebutuhan!$I$5:$I$24,MATCH($B7,Kebutuhan!$C$5:$C$24,0))</f>
        <v>255.255.224.0</v>
      </c>
      <c r="G7" s="9" t="str">
        <f>"10."&amp;(Info!$B$5+INT((L7+1)/65536))&amp;"."&amp;INT(MOD((L7+1),65536)/256)&amp;"."&amp;MOD((L7+1),256)&amp;" – "&amp;"10."&amp;(Info!$B$5+INT((L7+K7-2)/65536))&amp;"."&amp;INT(MOD((L7+K7-2),65536)/256)&amp;"."&amp;MOD((L7+K7-2),256)</f>
        <v>10.16.96.1 – 10.16.127.254</v>
      </c>
      <c r="H7" s="9" t="str">
        <f>"10."&amp;(Info!$B$5+INT((L7+K7-1)/65536))&amp;"."&amp;INT(MOD((L7+K7-1),65536)/256)&amp;"."&amp;MOD((L7+K7-1),256)</f>
        <v>10.16.127.255</v>
      </c>
      <c r="I7" s="9" t="str">
        <f>IF(INDEX(Kebutuhan!$D$5:$D$24,MATCH($B7,Kebutuhan!$C$5:$C$24,0))="Link","—","10."&amp;(Info!$B$5+INT((L7+1)/65536))&amp;"."&amp;INT(MOD((L7+1),65536)/256)&amp;"."&amp;MOD((L7+1),256))</f>
        <v>10.16.96.1</v>
      </c>
      <c r="J7" s="15">
        <f>INDEX(Kebutuhan!$E$5:$E$24,MATCH($B7,Kebutuhan!$C$5:$C$24,0))</f>
        <v>6000</v>
      </c>
      <c r="K7" s="15">
        <f>INDEX(Kebutuhan!$G$5:$G$24,MATCH($B7,Kebutuhan!$C$5:$C$24,0))</f>
        <v>8192</v>
      </c>
      <c r="L7" s="15">
        <f t="shared" si="1"/>
        <v>24576</v>
      </c>
      <c r="M7" s="16" t="str">
        <f t="shared" si="0"/>
        <v>OK</v>
      </c>
      <c r="N7" s="16" t="str">
        <f t="shared" si="2"/>
        <v>OK</v>
      </c>
    </row>
    <row r="8" spans="1:14" x14ac:dyDescent="0.35">
      <c r="A8" s="17">
        <v>4</v>
      </c>
      <c r="B8" s="18" t="s">
        <v>59</v>
      </c>
      <c r="C8" s="18" t="str">
        <f>INDEX(Kebutuhan!$B$5:$B$24,MATCH($B8,Kebutuhan!$C$5:$C$24,0))</f>
        <v>R-TIMUR</v>
      </c>
      <c r="D8" s="17" t="str">
        <f>"10."&amp;(Info!$B$5+INT((L8)/65536))&amp;"."&amp;INT(MOD((L8),65536)/256)&amp;"."&amp;MOD((L8),256)</f>
        <v>10.16.128.0</v>
      </c>
      <c r="E8" s="17" t="str">
        <f>"/"&amp;INDEX(Kebutuhan!$H$5:$H$24,MATCH($B8,Kebutuhan!$C$5:$C$24,0))</f>
        <v>/19</v>
      </c>
      <c r="F8" s="17" t="str">
        <f>INDEX(Kebutuhan!$I$5:$I$24,MATCH($B8,Kebutuhan!$C$5:$C$24,0))</f>
        <v>255.255.224.0</v>
      </c>
      <c r="G8" s="17" t="str">
        <f>"10."&amp;(Info!$B$5+INT((L8+1)/65536))&amp;"."&amp;INT(MOD((L8+1),65536)/256)&amp;"."&amp;MOD((L8+1),256)&amp;" – "&amp;"10."&amp;(Info!$B$5+INT((L8+K8-2)/65536))&amp;"."&amp;INT(MOD((L8+K8-2),65536)/256)&amp;"."&amp;MOD((L8+K8-2),256)</f>
        <v>10.16.128.1 – 10.16.159.254</v>
      </c>
      <c r="H8" s="17" t="str">
        <f>"10."&amp;(Info!$B$5+INT((L8+K8-1)/65536))&amp;"."&amp;INT(MOD((L8+K8-1),65536)/256)&amp;"."&amp;MOD((L8+K8-1),256)</f>
        <v>10.16.159.255</v>
      </c>
      <c r="I8" s="17" t="str">
        <f>IF(INDEX(Kebutuhan!$D$5:$D$24,MATCH($B8,Kebutuhan!$C$5:$C$24,0))="Link","—","10."&amp;(Info!$B$5+INT((L8+1)/65536))&amp;"."&amp;INT(MOD((L8+1),65536)/256)&amp;"."&amp;MOD((L8+1),256))</f>
        <v>10.16.128.1</v>
      </c>
      <c r="J8" s="15">
        <f>INDEX(Kebutuhan!$E$5:$E$24,MATCH($B8,Kebutuhan!$C$5:$C$24,0))</f>
        <v>5500</v>
      </c>
      <c r="K8" s="15">
        <f>INDEX(Kebutuhan!$G$5:$G$24,MATCH($B8,Kebutuhan!$C$5:$C$24,0))</f>
        <v>8192</v>
      </c>
      <c r="L8" s="15">
        <f t="shared" si="1"/>
        <v>32768</v>
      </c>
      <c r="M8" s="16" t="str">
        <f t="shared" si="0"/>
        <v>OK</v>
      </c>
      <c r="N8" s="16" t="str">
        <f t="shared" si="2"/>
        <v>OK</v>
      </c>
    </row>
    <row r="9" spans="1:14" x14ac:dyDescent="0.35">
      <c r="A9" s="9">
        <v>5</v>
      </c>
      <c r="B9" s="6" t="s">
        <v>53</v>
      </c>
      <c r="C9" s="6" t="str">
        <f>INDEX(Kebutuhan!$B$5:$B$24,MATCH($B9,Kebutuhan!$C$5:$C$24,0))</f>
        <v>R-PELABUHAN</v>
      </c>
      <c r="D9" s="9" t="str">
        <f>"10."&amp;(Info!$B$5+INT((L9)/65536))&amp;"."&amp;INT(MOD((L9),65536)/256)&amp;"."&amp;MOD((L9),256)</f>
        <v>10.16.160.0</v>
      </c>
      <c r="E9" s="9" t="str">
        <f>"/"&amp;INDEX(Kebutuhan!$H$5:$H$24,MATCH($B9,Kebutuhan!$C$5:$C$24,0))</f>
        <v>/19</v>
      </c>
      <c r="F9" s="9" t="str">
        <f>INDEX(Kebutuhan!$I$5:$I$24,MATCH($B9,Kebutuhan!$C$5:$C$24,0))</f>
        <v>255.255.224.0</v>
      </c>
      <c r="G9" s="9" t="str">
        <f>"10."&amp;(Info!$B$5+INT((L9+1)/65536))&amp;"."&amp;INT(MOD((L9+1),65536)/256)&amp;"."&amp;MOD((L9+1),256)&amp;" – "&amp;"10."&amp;(Info!$B$5+INT((L9+K9-2)/65536))&amp;"."&amp;INT(MOD((L9+K9-2),65536)/256)&amp;"."&amp;MOD((L9+K9-2),256)</f>
        <v>10.16.160.1 – 10.16.191.254</v>
      </c>
      <c r="H9" s="9" t="str">
        <f>"10."&amp;(Info!$B$5+INT((L9+K9-1)/65536))&amp;"."&amp;INT(MOD((L9+K9-1),65536)/256)&amp;"."&amp;MOD((L9+K9-1),256)</f>
        <v>10.16.191.255</v>
      </c>
      <c r="I9" s="9" t="str">
        <f>IF(INDEX(Kebutuhan!$D$5:$D$24,MATCH($B9,Kebutuhan!$C$5:$C$24,0))="Link","—","10."&amp;(Info!$B$5+INT((L9+1)/65536))&amp;"."&amp;INT(MOD((L9+1),65536)/256)&amp;"."&amp;MOD((L9+1),256))</f>
        <v>10.16.160.1</v>
      </c>
      <c r="J9" s="15">
        <f>INDEX(Kebutuhan!$E$5:$E$24,MATCH($B9,Kebutuhan!$C$5:$C$24,0))</f>
        <v>5000</v>
      </c>
      <c r="K9" s="15">
        <f>INDEX(Kebutuhan!$G$5:$G$24,MATCH($B9,Kebutuhan!$C$5:$C$24,0))</f>
        <v>8192</v>
      </c>
      <c r="L9" s="15">
        <f t="shared" si="1"/>
        <v>40960</v>
      </c>
      <c r="M9" s="16" t="str">
        <f t="shared" si="0"/>
        <v>OK</v>
      </c>
      <c r="N9" s="16" t="str">
        <f t="shared" si="2"/>
        <v>OK</v>
      </c>
    </row>
    <row r="10" spans="1:14" x14ac:dyDescent="0.35">
      <c r="A10" s="17">
        <v>6</v>
      </c>
      <c r="B10" s="18" t="s">
        <v>62</v>
      </c>
      <c r="C10" s="18" t="str">
        <f>INDEX(Kebutuhan!$B$5:$B$24,MATCH($B10,Kebutuhan!$C$5:$C$24,0))</f>
        <v>R-BARAT</v>
      </c>
      <c r="D10" s="17" t="str">
        <f>"10."&amp;(Info!$B$5+INT((L10)/65536))&amp;"."&amp;INT(MOD((L10),65536)/256)&amp;"."&amp;MOD((L10),256)</f>
        <v>10.16.192.0</v>
      </c>
      <c r="E10" s="17" t="str">
        <f>"/"&amp;INDEX(Kebutuhan!$H$5:$H$24,MATCH($B10,Kebutuhan!$C$5:$C$24,0))</f>
        <v>/19</v>
      </c>
      <c r="F10" s="17" t="str">
        <f>INDEX(Kebutuhan!$I$5:$I$24,MATCH($B10,Kebutuhan!$C$5:$C$24,0))</f>
        <v>255.255.224.0</v>
      </c>
      <c r="G10" s="17" t="str">
        <f>"10."&amp;(Info!$B$5+INT((L10+1)/65536))&amp;"."&amp;INT(MOD((L10+1),65536)/256)&amp;"."&amp;MOD((L10+1),256)&amp;" – "&amp;"10."&amp;(Info!$B$5+INT((L10+K10-2)/65536))&amp;"."&amp;INT(MOD((L10+K10-2),65536)/256)&amp;"."&amp;MOD((L10+K10-2),256)</f>
        <v>10.16.192.1 – 10.16.223.254</v>
      </c>
      <c r="H10" s="17" t="str">
        <f>"10."&amp;(Info!$B$5+INT((L10+K10-1)/65536))&amp;"."&amp;INT(MOD((L10+K10-1),65536)/256)&amp;"."&amp;MOD((L10+K10-1),256)</f>
        <v>10.16.223.255</v>
      </c>
      <c r="I10" s="17" t="str">
        <f>IF(INDEX(Kebutuhan!$D$5:$D$24,MATCH($B10,Kebutuhan!$C$5:$C$24,0))="Link","—","10."&amp;(Info!$B$5+INT((L10+1)/65536))&amp;"."&amp;INT(MOD((L10+1),65536)/256)&amp;"."&amp;MOD((L10+1),256))</f>
        <v>10.16.192.1</v>
      </c>
      <c r="J10" s="15">
        <f>INDEX(Kebutuhan!$E$5:$E$24,MATCH($B10,Kebutuhan!$C$5:$C$24,0))</f>
        <v>4500</v>
      </c>
      <c r="K10" s="15">
        <f>INDEX(Kebutuhan!$G$5:$G$24,MATCH($B10,Kebutuhan!$C$5:$C$24,0))</f>
        <v>8192</v>
      </c>
      <c r="L10" s="15">
        <f t="shared" si="1"/>
        <v>49152</v>
      </c>
      <c r="M10" s="16" t="str">
        <f t="shared" si="0"/>
        <v>OK</v>
      </c>
      <c r="N10" s="16" t="str">
        <f t="shared" si="2"/>
        <v>OK</v>
      </c>
    </row>
    <row r="11" spans="1:14" x14ac:dyDescent="0.35">
      <c r="A11" s="9">
        <v>7</v>
      </c>
      <c r="B11" s="6" t="s">
        <v>43</v>
      </c>
      <c r="C11" s="6" t="str">
        <f>INDEX(Kebutuhan!$B$5:$B$24,MATCH($B11,Kebutuhan!$C$5:$C$24,0))</f>
        <v>R-PUSAT</v>
      </c>
      <c r="D11" s="9" t="str">
        <f>"10."&amp;(Info!$B$5+INT((L11)/65536))&amp;"."&amp;INT(MOD((L11),65536)/256)&amp;"."&amp;MOD((L11),256)</f>
        <v>10.16.224.0</v>
      </c>
      <c r="E11" s="9" t="str">
        <f>"/"&amp;INDEX(Kebutuhan!$H$5:$H$24,MATCH($B11,Kebutuhan!$C$5:$C$24,0))</f>
        <v>/21</v>
      </c>
      <c r="F11" s="9" t="str">
        <f>INDEX(Kebutuhan!$I$5:$I$24,MATCH($B11,Kebutuhan!$C$5:$C$24,0))</f>
        <v>255.255.248.0</v>
      </c>
      <c r="G11" s="9" t="str">
        <f>"10."&amp;(Info!$B$5+INT((L11+1)/65536))&amp;"."&amp;INT(MOD((L11+1),65536)/256)&amp;"."&amp;MOD((L11+1),256)&amp;" – "&amp;"10."&amp;(Info!$B$5+INT((L11+K11-2)/65536))&amp;"."&amp;INT(MOD((L11+K11-2),65536)/256)&amp;"."&amp;MOD((L11+K11-2),256)</f>
        <v>10.16.224.1 – 10.16.231.254</v>
      </c>
      <c r="H11" s="9" t="str">
        <f>"10."&amp;(Info!$B$5+INT((L11+K11-1)/65536))&amp;"."&amp;INT(MOD((L11+K11-1),65536)/256)&amp;"."&amp;MOD((L11+K11-1),256)</f>
        <v>10.16.231.255</v>
      </c>
      <c r="I11" s="9" t="str">
        <f>IF(INDEX(Kebutuhan!$D$5:$D$24,MATCH($B11,Kebutuhan!$C$5:$C$24,0))="Link","—","10."&amp;(Info!$B$5+INT((L11+1)/65536))&amp;"."&amp;INT(MOD((L11+1),65536)/256)&amp;"."&amp;MOD((L11+1),256))</f>
        <v>10.16.224.1</v>
      </c>
      <c r="J11" s="15">
        <f>INDEX(Kebutuhan!$E$5:$E$24,MATCH($B11,Kebutuhan!$C$5:$C$24,0))</f>
        <v>1800</v>
      </c>
      <c r="K11" s="15">
        <f>INDEX(Kebutuhan!$G$5:$G$24,MATCH($B11,Kebutuhan!$C$5:$C$24,0))</f>
        <v>2048</v>
      </c>
      <c r="L11" s="15">
        <f t="shared" si="1"/>
        <v>57344</v>
      </c>
      <c r="M11" s="16" t="str">
        <f t="shared" si="0"/>
        <v>OK</v>
      </c>
      <c r="N11" s="16" t="str">
        <f t="shared" si="2"/>
        <v>OK</v>
      </c>
    </row>
    <row r="12" spans="1:14" x14ac:dyDescent="0.35">
      <c r="A12" s="17">
        <v>8</v>
      </c>
      <c r="B12" s="18" t="s">
        <v>60</v>
      </c>
      <c r="C12" s="18" t="str">
        <f>INDEX(Kebutuhan!$B$5:$B$24,MATCH($B12,Kebutuhan!$C$5:$C$24,0))</f>
        <v>R-TIMUR</v>
      </c>
      <c r="D12" s="17" t="str">
        <f>"10."&amp;(Info!$B$5+INT((L12)/65536))&amp;"."&amp;INT(MOD((L12),65536)/256)&amp;"."&amp;MOD((L12),256)</f>
        <v>10.16.232.0</v>
      </c>
      <c r="E12" s="17" t="str">
        <f>"/"&amp;INDEX(Kebutuhan!$H$5:$H$24,MATCH($B12,Kebutuhan!$C$5:$C$24,0))</f>
        <v>/22</v>
      </c>
      <c r="F12" s="17" t="str">
        <f>INDEX(Kebutuhan!$I$5:$I$24,MATCH($B12,Kebutuhan!$C$5:$C$24,0))</f>
        <v>255.255.252.0</v>
      </c>
      <c r="G12" s="17" t="str">
        <f>"10."&amp;(Info!$B$5+INT((L12+1)/65536))&amp;"."&amp;INT(MOD((L12+1),65536)/256)&amp;"."&amp;MOD((L12+1),256)&amp;" – "&amp;"10."&amp;(Info!$B$5+INT((L12+K12-2)/65536))&amp;"."&amp;INT(MOD((L12+K12-2),65536)/256)&amp;"."&amp;MOD((L12+K12-2),256)</f>
        <v>10.16.232.1 – 10.16.235.254</v>
      </c>
      <c r="H12" s="17" t="str">
        <f>"10."&amp;(Info!$B$5+INT((L12+K12-1)/65536))&amp;"."&amp;INT(MOD((L12+K12-1),65536)/256)&amp;"."&amp;MOD((L12+K12-1),256)</f>
        <v>10.16.235.255</v>
      </c>
      <c r="I12" s="17" t="str">
        <f>IF(INDEX(Kebutuhan!$D$5:$D$24,MATCH($B12,Kebutuhan!$C$5:$C$24,0))="Link","—","10."&amp;(Info!$B$5+INT((L12+1)/65536))&amp;"."&amp;INT(MOD((L12+1),65536)/256)&amp;"."&amp;MOD((L12+1),256))</f>
        <v>10.16.232.1</v>
      </c>
      <c r="J12" s="15">
        <f>INDEX(Kebutuhan!$E$5:$E$24,MATCH($B12,Kebutuhan!$C$5:$C$24,0))</f>
        <v>700</v>
      </c>
      <c r="K12" s="15">
        <f>INDEX(Kebutuhan!$G$5:$G$24,MATCH($B12,Kebutuhan!$C$5:$C$24,0))</f>
        <v>1024</v>
      </c>
      <c r="L12" s="15">
        <f t="shared" si="1"/>
        <v>59392</v>
      </c>
      <c r="M12" s="16" t="str">
        <f t="shared" si="0"/>
        <v>OK</v>
      </c>
      <c r="N12" s="16" t="str">
        <f t="shared" si="2"/>
        <v>OK</v>
      </c>
    </row>
    <row r="13" spans="1:14" x14ac:dyDescent="0.35">
      <c r="A13" s="9">
        <v>9</v>
      </c>
      <c r="B13" s="6" t="s">
        <v>51</v>
      </c>
      <c r="C13" s="6" t="str">
        <f>INDEX(Kebutuhan!$B$5:$B$24,MATCH($B13,Kebutuhan!$C$5:$C$24,0))</f>
        <v>R-UTARA</v>
      </c>
      <c r="D13" s="9" t="str">
        <f>"10."&amp;(Info!$B$5+INT((L13)/65536))&amp;"."&amp;INT(MOD((L13),65536)/256)&amp;"."&amp;MOD((L13),256)</f>
        <v>10.16.236.0</v>
      </c>
      <c r="E13" s="9" t="str">
        <f>"/"&amp;INDEX(Kebutuhan!$H$5:$H$24,MATCH($B13,Kebutuhan!$C$5:$C$24,0))</f>
        <v>/23</v>
      </c>
      <c r="F13" s="9" t="str">
        <f>INDEX(Kebutuhan!$I$5:$I$24,MATCH($B13,Kebutuhan!$C$5:$C$24,0))</f>
        <v>255.255.254.0</v>
      </c>
      <c r="G13" s="9" t="str">
        <f>"10."&amp;(Info!$B$5+INT((L13+1)/65536))&amp;"."&amp;INT(MOD((L13+1),65536)/256)&amp;"."&amp;MOD((L13+1),256)&amp;" – "&amp;"10."&amp;(Info!$B$5+INT((L13+K13-2)/65536))&amp;"."&amp;INT(MOD((L13+K13-2),65536)/256)&amp;"."&amp;MOD((L13+K13-2),256)</f>
        <v>10.16.236.1 – 10.16.237.254</v>
      </c>
      <c r="H13" s="9" t="str">
        <f>"10."&amp;(Info!$B$5+INT((L13+K13-1)/65536))&amp;"."&amp;INT(MOD((L13+K13-1),65536)/256)&amp;"."&amp;MOD((L13+K13-1),256)</f>
        <v>10.16.237.255</v>
      </c>
      <c r="I13" s="9" t="str">
        <f>IF(INDEX(Kebutuhan!$D$5:$D$24,MATCH($B13,Kebutuhan!$C$5:$C$24,0))="Link","—","10."&amp;(Info!$B$5+INT((L13+1)/65536))&amp;"."&amp;INT(MOD((L13+1),65536)/256)&amp;"."&amp;MOD((L13+1),256))</f>
        <v>10.16.236.1</v>
      </c>
      <c r="J13" s="15">
        <f>INDEX(Kebutuhan!$E$5:$E$24,MATCH($B13,Kebutuhan!$C$5:$C$24,0))</f>
        <v>450</v>
      </c>
      <c r="K13" s="15">
        <f>INDEX(Kebutuhan!$G$5:$G$24,MATCH($B13,Kebutuhan!$C$5:$C$24,0))</f>
        <v>512</v>
      </c>
      <c r="L13" s="15">
        <f t="shared" si="1"/>
        <v>60416</v>
      </c>
      <c r="M13" s="16" t="str">
        <f t="shared" si="0"/>
        <v>OK</v>
      </c>
      <c r="N13" s="16" t="str">
        <f t="shared" si="2"/>
        <v>OK</v>
      </c>
    </row>
    <row r="14" spans="1:14" x14ac:dyDescent="0.35">
      <c r="A14" s="17">
        <v>10</v>
      </c>
      <c r="B14" s="18" t="s">
        <v>63</v>
      </c>
      <c r="C14" s="18" t="str">
        <f>INDEX(Kebutuhan!$B$5:$B$24,MATCH($B14,Kebutuhan!$C$5:$C$24,0))</f>
        <v>R-BARAT</v>
      </c>
      <c r="D14" s="17" t="str">
        <f>"10."&amp;(Info!$B$5+INT((L14)/65536))&amp;"."&amp;INT(MOD((L14),65536)/256)&amp;"."&amp;MOD((L14),256)</f>
        <v>10.16.238.0</v>
      </c>
      <c r="E14" s="17" t="str">
        <f>"/"&amp;INDEX(Kebutuhan!$H$5:$H$24,MATCH($B14,Kebutuhan!$C$5:$C$24,0))</f>
        <v>/24</v>
      </c>
      <c r="F14" s="17" t="str">
        <f>INDEX(Kebutuhan!$I$5:$I$24,MATCH($B14,Kebutuhan!$C$5:$C$24,0))</f>
        <v>255.255.255.0</v>
      </c>
      <c r="G14" s="17" t="str">
        <f>"10."&amp;(Info!$B$5+INT((L14+1)/65536))&amp;"."&amp;INT(MOD((L14+1),65536)/256)&amp;"."&amp;MOD((L14+1),256)&amp;" – "&amp;"10."&amp;(Info!$B$5+INT((L14+K14-2)/65536))&amp;"."&amp;INT(MOD((L14+K14-2),65536)/256)&amp;"."&amp;MOD((L14+K14-2),256)</f>
        <v>10.16.238.1 – 10.16.238.254</v>
      </c>
      <c r="H14" s="17" t="str">
        <f>"10."&amp;(Info!$B$5+INT((L14+K14-1)/65536))&amp;"."&amp;INT(MOD((L14+K14-1),65536)/256)&amp;"."&amp;MOD((L14+K14-1),256)</f>
        <v>10.16.238.255</v>
      </c>
      <c r="I14" s="17" t="str">
        <f>IF(INDEX(Kebutuhan!$D$5:$D$24,MATCH($B14,Kebutuhan!$C$5:$C$24,0))="Link","—","10."&amp;(Info!$B$5+INT((L14+1)/65536))&amp;"."&amp;INT(MOD((L14+1),65536)/256)&amp;"."&amp;MOD((L14+1),256))</f>
        <v>10.16.238.1</v>
      </c>
      <c r="J14" s="15">
        <f>INDEX(Kebutuhan!$E$5:$E$24,MATCH($B14,Kebutuhan!$C$5:$C$24,0))</f>
        <v>220</v>
      </c>
      <c r="K14" s="15">
        <f>INDEX(Kebutuhan!$G$5:$G$24,MATCH($B14,Kebutuhan!$C$5:$C$24,0))</f>
        <v>256</v>
      </c>
      <c r="L14" s="15">
        <f t="shared" si="1"/>
        <v>60928</v>
      </c>
      <c r="M14" s="16" t="str">
        <f t="shared" si="0"/>
        <v>OK</v>
      </c>
      <c r="N14" s="16" t="str">
        <f t="shared" si="2"/>
        <v>OK</v>
      </c>
    </row>
    <row r="15" spans="1:14" x14ac:dyDescent="0.35">
      <c r="A15" s="9">
        <v>11</v>
      </c>
      <c r="B15" s="6" t="s">
        <v>48</v>
      </c>
      <c r="C15" s="6" t="str">
        <f>INDEX(Kebutuhan!$B$5:$B$24,MATCH($B15,Kebutuhan!$C$5:$C$24,0))</f>
        <v>R-DC</v>
      </c>
      <c r="D15" s="9" t="str">
        <f>"10."&amp;(Info!$B$5+INT((L15)/65536))&amp;"."&amp;INT(MOD((L15),65536)/256)&amp;"."&amp;MOD((L15),256)</f>
        <v>10.16.239.0</v>
      </c>
      <c r="E15" s="9" t="str">
        <f>"/"&amp;INDEX(Kebutuhan!$H$5:$H$24,MATCH($B15,Kebutuhan!$C$5:$C$24,0))</f>
        <v>/24</v>
      </c>
      <c r="F15" s="9" t="str">
        <f>INDEX(Kebutuhan!$I$5:$I$24,MATCH($B15,Kebutuhan!$C$5:$C$24,0))</f>
        <v>255.255.255.0</v>
      </c>
      <c r="G15" s="9" t="str">
        <f>"10."&amp;(Info!$B$5+INT((L15+1)/65536))&amp;"."&amp;INT(MOD((L15+1),65536)/256)&amp;"."&amp;MOD((L15+1),256)&amp;" – "&amp;"10."&amp;(Info!$B$5+INT((L15+K15-2)/65536))&amp;"."&amp;INT(MOD((L15+K15-2),65536)/256)&amp;"."&amp;MOD((L15+K15-2),256)</f>
        <v>10.16.239.1 – 10.16.239.254</v>
      </c>
      <c r="H15" s="9" t="str">
        <f>"10."&amp;(Info!$B$5+INT((L15+K15-1)/65536))&amp;"."&amp;INT(MOD((L15+K15-1),65536)/256)&amp;"."&amp;MOD((L15+K15-1),256)</f>
        <v>10.16.239.255</v>
      </c>
      <c r="I15" s="9" t="str">
        <f>IF(INDEX(Kebutuhan!$D$5:$D$24,MATCH($B15,Kebutuhan!$C$5:$C$24,0))="Link","—","10."&amp;(Info!$B$5+INT((L15+1)/65536))&amp;"."&amp;INT(MOD((L15+1),65536)/256)&amp;"."&amp;MOD((L15+1),256))</f>
        <v>10.16.239.1</v>
      </c>
      <c r="J15" s="15">
        <f>INDEX(Kebutuhan!$E$5:$E$24,MATCH($B15,Kebutuhan!$C$5:$C$24,0))</f>
        <v>180</v>
      </c>
      <c r="K15" s="15">
        <f>INDEX(Kebutuhan!$G$5:$G$24,MATCH($B15,Kebutuhan!$C$5:$C$24,0))</f>
        <v>256</v>
      </c>
      <c r="L15" s="15">
        <f t="shared" si="1"/>
        <v>61184</v>
      </c>
      <c r="M15" s="16" t="str">
        <f t="shared" si="0"/>
        <v>OK</v>
      </c>
      <c r="N15" s="16" t="str">
        <f t="shared" si="2"/>
        <v>OK</v>
      </c>
    </row>
    <row r="16" spans="1:14" x14ac:dyDescent="0.35">
      <c r="A16" s="17">
        <v>12</v>
      </c>
      <c r="B16" s="18" t="s">
        <v>54</v>
      </c>
      <c r="C16" s="18" t="str">
        <f>INDEX(Kebutuhan!$B$5:$B$24,MATCH($B16,Kebutuhan!$C$5:$C$24,0))</f>
        <v>R-PELABUHAN</v>
      </c>
      <c r="D16" s="17" t="str">
        <f>"10."&amp;(Info!$B$5+INT((L16)/65536))&amp;"."&amp;INT(MOD((L16),65536)/256)&amp;"."&amp;MOD((L16),256)</f>
        <v>10.16.240.0</v>
      </c>
      <c r="E16" s="17" t="str">
        <f>"/"&amp;INDEX(Kebutuhan!$H$5:$H$24,MATCH($B16,Kebutuhan!$C$5:$C$24,0))</f>
        <v>/25</v>
      </c>
      <c r="F16" s="17" t="str">
        <f>INDEX(Kebutuhan!$I$5:$I$24,MATCH($B16,Kebutuhan!$C$5:$C$24,0))</f>
        <v>255.255.255.128</v>
      </c>
      <c r="G16" s="17" t="str">
        <f>"10."&amp;(Info!$B$5+INT((L16+1)/65536))&amp;"."&amp;INT(MOD((L16+1),65536)/256)&amp;"."&amp;MOD((L16+1),256)&amp;" – "&amp;"10."&amp;(Info!$B$5+INT((L16+K16-2)/65536))&amp;"."&amp;INT(MOD((L16+K16-2),65536)/256)&amp;"."&amp;MOD((L16+K16-2),256)</f>
        <v>10.16.240.1 – 10.16.240.126</v>
      </c>
      <c r="H16" s="17" t="str">
        <f>"10."&amp;(Info!$B$5+INT((L16+K16-1)/65536))&amp;"."&amp;INT(MOD((L16+K16-1),65536)/256)&amp;"."&amp;MOD((L16+K16-1),256)</f>
        <v>10.16.240.127</v>
      </c>
      <c r="I16" s="17" t="str">
        <f>IF(INDEX(Kebutuhan!$D$5:$D$24,MATCH($B16,Kebutuhan!$C$5:$C$24,0))="Link","—","10."&amp;(Info!$B$5+INT((L16+1)/65536))&amp;"."&amp;INT(MOD((L16+1),65536)/256)&amp;"."&amp;MOD((L16+1),256))</f>
        <v>10.16.240.1</v>
      </c>
      <c r="J16" s="15">
        <f>INDEX(Kebutuhan!$E$5:$E$24,MATCH($B16,Kebutuhan!$C$5:$C$24,0))</f>
        <v>120</v>
      </c>
      <c r="K16" s="15">
        <f>INDEX(Kebutuhan!$G$5:$G$24,MATCH($B16,Kebutuhan!$C$5:$C$24,0))</f>
        <v>128</v>
      </c>
      <c r="L16" s="15">
        <f t="shared" si="1"/>
        <v>61440</v>
      </c>
      <c r="M16" s="16" t="str">
        <f t="shared" si="0"/>
        <v>OK</v>
      </c>
      <c r="N16" s="16" t="str">
        <f t="shared" si="2"/>
        <v>OK</v>
      </c>
    </row>
    <row r="17" spans="1:14" x14ac:dyDescent="0.35">
      <c r="A17" s="9">
        <v>13</v>
      </c>
      <c r="B17" s="6" t="s">
        <v>57</v>
      </c>
      <c r="C17" s="6" t="str">
        <f>INDEX(Kebutuhan!$B$5:$B$24,MATCH($B17,Kebutuhan!$C$5:$C$24,0))</f>
        <v>R-SELATAN</v>
      </c>
      <c r="D17" s="9" t="str">
        <f>"10."&amp;(Info!$B$5+INT((L17)/65536))&amp;"."&amp;INT(MOD((L17),65536)/256)&amp;"."&amp;MOD((L17),256)</f>
        <v>10.16.240.128</v>
      </c>
      <c r="E17" s="9" t="str">
        <f>"/"&amp;INDEX(Kebutuhan!$H$5:$H$24,MATCH($B17,Kebutuhan!$C$5:$C$24,0))</f>
        <v>/25</v>
      </c>
      <c r="F17" s="9" t="str">
        <f>INDEX(Kebutuhan!$I$5:$I$24,MATCH($B17,Kebutuhan!$C$5:$C$24,0))</f>
        <v>255.255.255.128</v>
      </c>
      <c r="G17" s="9" t="str">
        <f>"10."&amp;(Info!$B$5+INT((L17+1)/65536))&amp;"."&amp;INT(MOD((L17+1),65536)/256)&amp;"."&amp;MOD((L17+1),256)&amp;" – "&amp;"10."&amp;(Info!$B$5+INT((L17+K17-2)/65536))&amp;"."&amp;INT(MOD((L17+K17-2),65536)/256)&amp;"."&amp;MOD((L17+K17-2),256)</f>
        <v>10.16.240.129 – 10.16.240.254</v>
      </c>
      <c r="H17" s="9" t="str">
        <f>"10."&amp;(Info!$B$5+INT((L17+K17-1)/65536))&amp;"."&amp;INT(MOD((L17+K17-1),65536)/256)&amp;"."&amp;MOD((L17+K17-1),256)</f>
        <v>10.16.240.255</v>
      </c>
      <c r="I17" s="9" t="str">
        <f>IF(INDEX(Kebutuhan!$D$5:$D$24,MATCH($B17,Kebutuhan!$C$5:$C$24,0))="Link","—","10."&amp;(Info!$B$5+INT((L17+1)/65536))&amp;"."&amp;INT(MOD((L17+1),65536)/256)&amp;"."&amp;MOD((L17+1),256))</f>
        <v>10.16.240.129</v>
      </c>
      <c r="J17" s="15">
        <f>INDEX(Kebutuhan!$E$5:$E$24,MATCH($B17,Kebutuhan!$C$5:$C$24,0))</f>
        <v>90</v>
      </c>
      <c r="K17" s="15">
        <f>INDEX(Kebutuhan!$G$5:$G$24,MATCH($B17,Kebutuhan!$C$5:$C$24,0))</f>
        <v>128</v>
      </c>
      <c r="L17" s="15">
        <f t="shared" si="1"/>
        <v>61568</v>
      </c>
      <c r="M17" s="16" t="str">
        <f t="shared" si="0"/>
        <v>OK</v>
      </c>
      <c r="N17" s="16" t="str">
        <f t="shared" si="2"/>
        <v>OK</v>
      </c>
    </row>
    <row r="18" spans="1:14" x14ac:dyDescent="0.35">
      <c r="A18" s="17">
        <v>14</v>
      </c>
      <c r="B18" s="18" t="s">
        <v>45</v>
      </c>
      <c r="C18" s="18" t="str">
        <f>INDEX(Kebutuhan!$B$5:$B$24,MATCH($B18,Kebutuhan!$C$5:$C$24,0))</f>
        <v>R-PUSAT</v>
      </c>
      <c r="D18" s="17" t="str">
        <f>"10."&amp;(Info!$B$5+INT((L18)/65536))&amp;"."&amp;INT(MOD((L18),65536)/256)&amp;"."&amp;MOD((L18),256)</f>
        <v>10.16.241.0</v>
      </c>
      <c r="E18" s="17" t="str">
        <f>"/"&amp;INDEX(Kebutuhan!$H$5:$H$24,MATCH($B18,Kebutuhan!$C$5:$C$24,0))</f>
        <v>/27</v>
      </c>
      <c r="F18" s="17" t="str">
        <f>INDEX(Kebutuhan!$I$5:$I$24,MATCH($B18,Kebutuhan!$C$5:$C$24,0))</f>
        <v>255.255.255.224</v>
      </c>
      <c r="G18" s="17" t="str">
        <f>"10."&amp;(Info!$B$5+INT((L18+1)/65536))&amp;"."&amp;INT(MOD((L18+1),65536)/256)&amp;"."&amp;MOD((L18+1),256)&amp;" – "&amp;"10."&amp;(Info!$B$5+INT((L18+K18-2)/65536))&amp;"."&amp;INT(MOD((L18+K18-2),65536)/256)&amp;"."&amp;MOD((L18+K18-2),256)</f>
        <v>10.16.241.1 – 10.16.241.30</v>
      </c>
      <c r="H18" s="17" t="str">
        <f>"10."&amp;(Info!$B$5+INT((L18+K18-1)/65536))&amp;"."&amp;INT(MOD((L18+K18-1),65536)/256)&amp;"."&amp;MOD((L18+K18-1),256)</f>
        <v>10.16.241.31</v>
      </c>
      <c r="I18" s="17" t="str">
        <f>IF(INDEX(Kebutuhan!$D$5:$D$24,MATCH($B18,Kebutuhan!$C$5:$C$24,0))="Link","—","10."&amp;(Info!$B$5+INT((L18+1)/65536))&amp;"."&amp;INT(MOD((L18+1),65536)/256)&amp;"."&amp;MOD((L18+1),256))</f>
        <v>10.16.241.1</v>
      </c>
      <c r="J18" s="15">
        <f>INDEX(Kebutuhan!$E$5:$E$24,MATCH($B18,Kebutuhan!$C$5:$C$24,0))</f>
        <v>20</v>
      </c>
      <c r="K18" s="15">
        <f>INDEX(Kebutuhan!$G$5:$G$24,MATCH($B18,Kebutuhan!$C$5:$C$24,0))</f>
        <v>32</v>
      </c>
      <c r="L18" s="15">
        <f t="shared" si="1"/>
        <v>61696</v>
      </c>
      <c r="M18" s="16" t="str">
        <f t="shared" si="0"/>
        <v>OK</v>
      </c>
      <c r="N18" s="16" t="str">
        <f t="shared" si="2"/>
        <v>OK</v>
      </c>
    </row>
    <row r="19" spans="1:14" x14ac:dyDescent="0.35">
      <c r="A19" s="9">
        <v>15</v>
      </c>
      <c r="B19" s="6" t="s">
        <v>65</v>
      </c>
      <c r="C19" s="6" t="str">
        <f>INDEX(Kebutuhan!$B$5:$B$24,MATCH($B19,Kebutuhan!$C$5:$C$24,0))</f>
        <v>R-PUSAT – R-DC</v>
      </c>
      <c r="D19" s="9" t="str">
        <f>"10."&amp;(Info!$B$5+INT((L19)/65536))&amp;"."&amp;INT(MOD((L19),65536)/256)&amp;"."&amp;MOD((L19),256)</f>
        <v>10.16.241.32</v>
      </c>
      <c r="E19" s="9" t="str">
        <f>"/"&amp;INDEX(Kebutuhan!$H$5:$H$24,MATCH($B19,Kebutuhan!$C$5:$C$24,0))</f>
        <v>/30</v>
      </c>
      <c r="F19" s="9" t="str">
        <f>INDEX(Kebutuhan!$I$5:$I$24,MATCH($B19,Kebutuhan!$C$5:$C$24,0))</f>
        <v>255.255.255.252</v>
      </c>
      <c r="G19" s="9" t="str">
        <f>"10."&amp;(Info!$B$5+INT((L19+1)/65536))&amp;"."&amp;INT(MOD((L19+1),65536)/256)&amp;"."&amp;MOD((L19+1),256)&amp;" – "&amp;"10."&amp;(Info!$B$5+INT((L19+K19-2)/65536))&amp;"."&amp;INT(MOD((L19+K19-2),65536)/256)&amp;"."&amp;MOD((L19+K19-2),256)</f>
        <v>10.16.241.33 – 10.16.241.34</v>
      </c>
      <c r="H19" s="9" t="str">
        <f>"10."&amp;(Info!$B$5+INT((L19+K19-1)/65536))&amp;"."&amp;INT(MOD((L19+K19-1),65536)/256)&amp;"."&amp;MOD((L19+K19-1),256)</f>
        <v>10.16.241.35</v>
      </c>
      <c r="I19" s="9" t="str">
        <f>IF(INDEX(Kebutuhan!$D$5:$D$24,MATCH($B19,Kebutuhan!$C$5:$C$24,0))="Link","—","10."&amp;(Info!$B$5+INT((L19+1)/65536))&amp;"."&amp;INT(MOD((L19+1),65536)/256)&amp;"."&amp;MOD((L19+1),256))</f>
        <v>—</v>
      </c>
      <c r="J19" s="15">
        <f>INDEX(Kebutuhan!$E$5:$E$24,MATCH($B19,Kebutuhan!$C$5:$C$24,0))</f>
        <v>2</v>
      </c>
      <c r="K19" s="15">
        <f>INDEX(Kebutuhan!$G$5:$G$24,MATCH($B19,Kebutuhan!$C$5:$C$24,0))</f>
        <v>4</v>
      </c>
      <c r="L19" s="15">
        <f t="shared" si="1"/>
        <v>61728</v>
      </c>
      <c r="M19" s="16" t="str">
        <f t="shared" si="0"/>
        <v>OK</v>
      </c>
      <c r="N19" s="16" t="str">
        <f t="shared" si="2"/>
        <v>OK</v>
      </c>
    </row>
    <row r="20" spans="1:14" x14ac:dyDescent="0.35">
      <c r="A20" s="17">
        <v>16</v>
      </c>
      <c r="B20" s="18" t="s">
        <v>74</v>
      </c>
      <c r="C20" s="18" t="str">
        <f>INDEX(Kebutuhan!$B$5:$B$24,MATCH($B20,Kebutuhan!$C$5:$C$24,0))</f>
        <v>R-PUSAT – R-BARAT</v>
      </c>
      <c r="D20" s="17" t="str">
        <f>"10."&amp;(Info!$B$5+INT((L20)/65536))&amp;"."&amp;INT(MOD((L20),65536)/256)&amp;"."&amp;MOD((L20),256)</f>
        <v>10.16.241.36</v>
      </c>
      <c r="E20" s="17" t="str">
        <f>"/"&amp;INDEX(Kebutuhan!$H$5:$H$24,MATCH($B20,Kebutuhan!$C$5:$C$24,0))</f>
        <v>/30</v>
      </c>
      <c r="F20" s="17" t="str">
        <f>INDEX(Kebutuhan!$I$5:$I$24,MATCH($B20,Kebutuhan!$C$5:$C$24,0))</f>
        <v>255.255.255.252</v>
      </c>
      <c r="G20" s="17" t="str">
        <f>"10."&amp;(Info!$B$5+INT((L20+1)/65536))&amp;"."&amp;INT(MOD((L20+1),65536)/256)&amp;"."&amp;MOD((L20+1),256)&amp;" – "&amp;"10."&amp;(Info!$B$5+INT((L20+K20-2)/65536))&amp;"."&amp;INT(MOD((L20+K20-2),65536)/256)&amp;"."&amp;MOD((L20+K20-2),256)</f>
        <v>10.16.241.37 – 10.16.241.38</v>
      </c>
      <c r="H20" s="17" t="str">
        <f>"10."&amp;(Info!$B$5+INT((L20+K20-1)/65536))&amp;"."&amp;INT(MOD((L20+K20-1),65536)/256)&amp;"."&amp;MOD((L20+K20-1),256)</f>
        <v>10.16.241.39</v>
      </c>
      <c r="I20" s="17" t="str">
        <f>IF(INDEX(Kebutuhan!$D$5:$D$24,MATCH($B20,Kebutuhan!$C$5:$C$24,0))="Link","—","10."&amp;(Info!$B$5+INT((L20+1)/65536))&amp;"."&amp;INT(MOD((L20+1),65536)/256)&amp;"."&amp;MOD((L20+1),256))</f>
        <v>—</v>
      </c>
      <c r="J20" s="15">
        <f>INDEX(Kebutuhan!$E$5:$E$24,MATCH($B20,Kebutuhan!$C$5:$C$24,0))</f>
        <v>2</v>
      </c>
      <c r="K20" s="15">
        <f>INDEX(Kebutuhan!$G$5:$G$24,MATCH($B20,Kebutuhan!$C$5:$C$24,0))</f>
        <v>4</v>
      </c>
      <c r="L20" s="15">
        <f t="shared" si="1"/>
        <v>61732</v>
      </c>
      <c r="M20" s="16" t="str">
        <f t="shared" si="0"/>
        <v>OK</v>
      </c>
      <c r="N20" s="16" t="str">
        <f t="shared" si="2"/>
        <v>OK</v>
      </c>
    </row>
    <row r="21" spans="1:14" x14ac:dyDescent="0.35">
      <c r="A21" s="9">
        <v>17</v>
      </c>
      <c r="B21" s="6" t="s">
        <v>68</v>
      </c>
      <c r="C21" s="6" t="str">
        <f>INDEX(Kebutuhan!$B$5:$B$24,MATCH($B21,Kebutuhan!$C$5:$C$24,0))</f>
        <v>R-PUSAT – R-UTARA</v>
      </c>
      <c r="D21" s="9" t="str">
        <f>"10."&amp;(Info!$B$5+INT((L21)/65536))&amp;"."&amp;INT(MOD((L21),65536)/256)&amp;"."&amp;MOD((L21),256)</f>
        <v>10.16.241.40</v>
      </c>
      <c r="E21" s="9" t="str">
        <f>"/"&amp;INDEX(Kebutuhan!$H$5:$H$24,MATCH($B21,Kebutuhan!$C$5:$C$24,0))</f>
        <v>/30</v>
      </c>
      <c r="F21" s="9" t="str">
        <f>INDEX(Kebutuhan!$I$5:$I$24,MATCH($B21,Kebutuhan!$C$5:$C$24,0))</f>
        <v>255.255.255.252</v>
      </c>
      <c r="G21" s="9" t="str">
        <f>"10."&amp;(Info!$B$5+INT((L21+1)/65536))&amp;"."&amp;INT(MOD((L21+1),65536)/256)&amp;"."&amp;MOD((L21+1),256)&amp;" – "&amp;"10."&amp;(Info!$B$5+INT((L21+K21-2)/65536))&amp;"."&amp;INT(MOD((L21+K21-2),65536)/256)&amp;"."&amp;MOD((L21+K21-2),256)</f>
        <v>10.16.241.41 – 10.16.241.42</v>
      </c>
      <c r="H21" s="9" t="str">
        <f>"10."&amp;(Info!$B$5+INT((L21+K21-1)/65536))&amp;"."&amp;INT(MOD((L21+K21-1),65536)/256)&amp;"."&amp;MOD((L21+K21-1),256)</f>
        <v>10.16.241.43</v>
      </c>
      <c r="I21" s="9" t="str">
        <f>IF(INDEX(Kebutuhan!$D$5:$D$24,MATCH($B21,Kebutuhan!$C$5:$C$24,0))="Link","—","10."&amp;(Info!$B$5+INT((L21+1)/65536))&amp;"."&amp;INT(MOD((L21+1),65536)/256)&amp;"."&amp;MOD((L21+1),256))</f>
        <v>—</v>
      </c>
      <c r="J21" s="15">
        <f>INDEX(Kebutuhan!$E$5:$E$24,MATCH($B21,Kebutuhan!$C$5:$C$24,0))</f>
        <v>2</v>
      </c>
      <c r="K21" s="15">
        <f>INDEX(Kebutuhan!$G$5:$G$24,MATCH($B21,Kebutuhan!$C$5:$C$24,0))</f>
        <v>4</v>
      </c>
      <c r="L21" s="15">
        <f t="shared" si="1"/>
        <v>61736</v>
      </c>
      <c r="M21" s="16" t="str">
        <f t="shared" si="0"/>
        <v>OK</v>
      </c>
      <c r="N21" s="16" t="str">
        <f t="shared" si="2"/>
        <v>OK</v>
      </c>
    </row>
    <row r="22" spans="1:14" x14ac:dyDescent="0.35">
      <c r="A22" s="17">
        <v>18</v>
      </c>
      <c r="B22" s="18" t="s">
        <v>72</v>
      </c>
      <c r="C22" s="18" t="str">
        <f>INDEX(Kebutuhan!$B$5:$B$24,MATCH($B22,Kebutuhan!$C$5:$C$24,0))</f>
        <v>R-PUSAT – R-TIMUR</v>
      </c>
      <c r="D22" s="17" t="str">
        <f>"10."&amp;(Info!$B$5+INT((L22)/65536))&amp;"."&amp;INT(MOD((L22),65536)/256)&amp;"."&amp;MOD((L22),256)</f>
        <v>10.16.241.44</v>
      </c>
      <c r="E22" s="17" t="str">
        <f>"/"&amp;INDEX(Kebutuhan!$H$5:$H$24,MATCH($B22,Kebutuhan!$C$5:$C$24,0))</f>
        <v>/30</v>
      </c>
      <c r="F22" s="17" t="str">
        <f>INDEX(Kebutuhan!$I$5:$I$24,MATCH($B22,Kebutuhan!$C$5:$C$24,0))</f>
        <v>255.255.255.252</v>
      </c>
      <c r="G22" s="17" t="str">
        <f>"10."&amp;(Info!$B$5+INT((L22+1)/65536))&amp;"."&amp;INT(MOD((L22+1),65536)/256)&amp;"."&amp;MOD((L22+1),256)&amp;" – "&amp;"10."&amp;(Info!$B$5+INT((L22+K22-2)/65536))&amp;"."&amp;INT(MOD((L22+K22-2),65536)/256)&amp;"."&amp;MOD((L22+K22-2),256)</f>
        <v>10.16.241.45 – 10.16.241.46</v>
      </c>
      <c r="H22" s="17" t="str">
        <f>"10."&amp;(Info!$B$5+INT((L22+K22-1)/65536))&amp;"."&amp;INT(MOD((L22+K22-1),65536)/256)&amp;"."&amp;MOD((L22+K22-1),256)</f>
        <v>10.16.241.47</v>
      </c>
      <c r="I22" s="17" t="str">
        <f>IF(INDEX(Kebutuhan!$D$5:$D$24,MATCH($B22,Kebutuhan!$C$5:$C$24,0))="Link","—","10."&amp;(Info!$B$5+INT((L22+1)/65536))&amp;"."&amp;INT(MOD((L22+1),65536)/256)&amp;"."&amp;MOD((L22+1),256))</f>
        <v>—</v>
      </c>
      <c r="J22" s="15">
        <f>INDEX(Kebutuhan!$E$5:$E$24,MATCH($B22,Kebutuhan!$C$5:$C$24,0))</f>
        <v>2</v>
      </c>
      <c r="K22" s="15">
        <f>INDEX(Kebutuhan!$G$5:$G$24,MATCH($B22,Kebutuhan!$C$5:$C$24,0))</f>
        <v>4</v>
      </c>
      <c r="L22" s="15">
        <f t="shared" si="1"/>
        <v>61740</v>
      </c>
      <c r="M22" s="16" t="str">
        <f t="shared" si="0"/>
        <v>OK</v>
      </c>
      <c r="N22" s="16" t="str">
        <f t="shared" si="2"/>
        <v>OK</v>
      </c>
    </row>
    <row r="23" spans="1:14" x14ac:dyDescent="0.35">
      <c r="A23" s="9">
        <v>19</v>
      </c>
      <c r="B23" s="6" t="s">
        <v>70</v>
      </c>
      <c r="C23" s="6" t="str">
        <f>INDEX(Kebutuhan!$B$5:$B$24,MATCH($B23,Kebutuhan!$C$5:$C$24,0))</f>
        <v>R-PUSAT – R-SELATAN</v>
      </c>
      <c r="D23" s="9" t="str">
        <f>"10."&amp;(Info!$B$5+INT((L23)/65536))&amp;"."&amp;INT(MOD((L23),65536)/256)&amp;"."&amp;MOD((L23),256)</f>
        <v>10.16.241.48</v>
      </c>
      <c r="E23" s="9" t="str">
        <f>"/"&amp;INDEX(Kebutuhan!$H$5:$H$24,MATCH($B23,Kebutuhan!$C$5:$C$24,0))</f>
        <v>/30</v>
      </c>
      <c r="F23" s="9" t="str">
        <f>INDEX(Kebutuhan!$I$5:$I$24,MATCH($B23,Kebutuhan!$C$5:$C$24,0))</f>
        <v>255.255.255.252</v>
      </c>
      <c r="G23" s="9" t="str">
        <f>"10."&amp;(Info!$B$5+INT((L23+1)/65536))&amp;"."&amp;INT(MOD((L23+1),65536)/256)&amp;"."&amp;MOD((L23+1),256)&amp;" – "&amp;"10."&amp;(Info!$B$5+INT((L23+K23-2)/65536))&amp;"."&amp;INT(MOD((L23+K23-2),65536)/256)&amp;"."&amp;MOD((L23+K23-2),256)</f>
        <v>10.16.241.49 – 10.16.241.50</v>
      </c>
      <c r="H23" s="9" t="str">
        <f>"10."&amp;(Info!$B$5+INT((L23+K23-1)/65536))&amp;"."&amp;INT(MOD((L23+K23-1),65536)/256)&amp;"."&amp;MOD((L23+K23-1),256)</f>
        <v>10.16.241.51</v>
      </c>
      <c r="I23" s="9" t="str">
        <f>IF(INDEX(Kebutuhan!$D$5:$D$24,MATCH($B23,Kebutuhan!$C$5:$C$24,0))="Link","—","10."&amp;(Info!$B$5+INT((L23+1)/65536))&amp;"."&amp;INT(MOD((L23+1),65536)/256)&amp;"."&amp;MOD((L23+1),256))</f>
        <v>—</v>
      </c>
      <c r="J23" s="15">
        <f>INDEX(Kebutuhan!$E$5:$E$24,MATCH($B23,Kebutuhan!$C$5:$C$24,0))</f>
        <v>2</v>
      </c>
      <c r="K23" s="15">
        <f>INDEX(Kebutuhan!$G$5:$G$24,MATCH($B23,Kebutuhan!$C$5:$C$24,0))</f>
        <v>4</v>
      </c>
      <c r="L23" s="15">
        <f t="shared" si="1"/>
        <v>61744</v>
      </c>
      <c r="M23" s="16" t="str">
        <f t="shared" si="0"/>
        <v>OK</v>
      </c>
      <c r="N23" s="16" t="str">
        <f t="shared" si="2"/>
        <v>OK</v>
      </c>
    </row>
    <row r="24" spans="1:14" x14ac:dyDescent="0.35">
      <c r="A24" s="17">
        <v>20</v>
      </c>
      <c r="B24" s="18" t="s">
        <v>76</v>
      </c>
      <c r="C24" s="18" t="str">
        <f>INDEX(Kebutuhan!$B$5:$B$24,MATCH($B24,Kebutuhan!$C$5:$C$24,0))</f>
        <v>R-UTARA – R-PELABUHAN</v>
      </c>
      <c r="D24" s="17" t="str">
        <f>"10."&amp;(Info!$B$5+INT((L24)/65536))&amp;"."&amp;INT(MOD((L24),65536)/256)&amp;"."&amp;MOD((L24),256)</f>
        <v>10.16.241.52</v>
      </c>
      <c r="E24" s="17" t="str">
        <f>"/"&amp;INDEX(Kebutuhan!$H$5:$H$24,MATCH($B24,Kebutuhan!$C$5:$C$24,0))</f>
        <v>/30</v>
      </c>
      <c r="F24" s="17" t="str">
        <f>INDEX(Kebutuhan!$I$5:$I$24,MATCH($B24,Kebutuhan!$C$5:$C$24,0))</f>
        <v>255.255.255.252</v>
      </c>
      <c r="G24" s="17" t="str">
        <f>"10."&amp;(Info!$B$5+INT((L24+1)/65536))&amp;"."&amp;INT(MOD((L24+1),65536)/256)&amp;"."&amp;MOD((L24+1),256)&amp;" – "&amp;"10."&amp;(Info!$B$5+INT((L24+K24-2)/65536))&amp;"."&amp;INT(MOD((L24+K24-2),65536)/256)&amp;"."&amp;MOD((L24+K24-2),256)</f>
        <v>10.16.241.53 – 10.16.241.54</v>
      </c>
      <c r="H24" s="17" t="str">
        <f>"10."&amp;(Info!$B$5+INT((L24+K24-1)/65536))&amp;"."&amp;INT(MOD((L24+K24-1),65536)/256)&amp;"."&amp;MOD((L24+K24-1),256)</f>
        <v>10.16.241.55</v>
      </c>
      <c r="I24" s="17" t="str">
        <f>IF(INDEX(Kebutuhan!$D$5:$D$24,MATCH($B24,Kebutuhan!$C$5:$C$24,0))="Link","—","10."&amp;(Info!$B$5+INT((L24+1)/65536))&amp;"."&amp;INT(MOD((L24+1),65536)/256)&amp;"."&amp;MOD((L24+1),256))</f>
        <v>—</v>
      </c>
      <c r="J24" s="15">
        <f>INDEX(Kebutuhan!$E$5:$E$24,MATCH($B24,Kebutuhan!$C$5:$C$24,0))</f>
        <v>2</v>
      </c>
      <c r="K24" s="15">
        <f>INDEX(Kebutuhan!$G$5:$G$24,MATCH($B24,Kebutuhan!$C$5:$C$24,0))</f>
        <v>4</v>
      </c>
      <c r="L24" s="15">
        <f t="shared" si="1"/>
        <v>61748</v>
      </c>
      <c r="M24" s="16" t="str">
        <f t="shared" si="0"/>
        <v>OK</v>
      </c>
      <c r="N24" s="16" t="str">
        <f t="shared" si="2"/>
        <v>OK</v>
      </c>
    </row>
    <row r="26" spans="1:14" x14ac:dyDescent="0.35">
      <c r="B26" s="19" t="s">
        <v>91</v>
      </c>
      <c r="C26" s="19" t="s">
        <v>3</v>
      </c>
    </row>
    <row r="27" spans="1:14" x14ac:dyDescent="0.35">
      <c r="B27" s="12" t="s">
        <v>92</v>
      </c>
      <c r="C27" s="20">
        <f>SUM(K5:K24)</f>
        <v>61752</v>
      </c>
    </row>
    <row r="28" spans="1:14" x14ac:dyDescent="0.35">
      <c r="B28" s="12" t="s">
        <v>93</v>
      </c>
      <c r="C28" s="20">
        <f>SUM(J5:J24)</f>
        <v>42092</v>
      </c>
    </row>
    <row r="29" spans="1:14" x14ac:dyDescent="0.35">
      <c r="B29" s="12" t="s">
        <v>94</v>
      </c>
      <c r="C29" s="21">
        <f>32-CEILING(ROUND(LOG(C27,2),9),1)</f>
        <v>16</v>
      </c>
    </row>
    <row r="30" spans="1:14" x14ac:dyDescent="0.35">
      <c r="B30" s="12" t="s">
        <v>95</v>
      </c>
      <c r="C30" s="20">
        <f>2^(32-C29)</f>
        <v>65536</v>
      </c>
    </row>
    <row r="31" spans="1:14" x14ac:dyDescent="0.35">
      <c r="B31" s="12" t="s">
        <v>96</v>
      </c>
      <c r="C31" s="22" t="str">
        <f>"10."&amp;Info!$B$5&amp;".0.0/"&amp;C29</f>
        <v>10.16.0.0/16</v>
      </c>
    </row>
  </sheetData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31"/>
  <sheetViews>
    <sheetView showGridLines="0" tabSelected="1" zoomScaleNormal="100" workbookViewId="0">
      <pane xSplit="2" ySplit="4" topLeftCell="I5" activePane="bottomRight" state="frozen"/>
      <selection pane="topRight" activeCell="C1" sqref="C1"/>
      <selection pane="bottomLeft" activeCell="A5" sqref="A5"/>
      <selection pane="bottomRight" activeCell="J3" sqref="J3"/>
    </sheetView>
  </sheetViews>
  <sheetFormatPr defaultColWidth="8.6328125" defaultRowHeight="14.5" x14ac:dyDescent="0.35"/>
  <cols>
    <col min="1" max="1" width="5" customWidth="1"/>
    <col min="2" max="2" width="28" customWidth="1"/>
    <col min="3" max="3" width="22" customWidth="1"/>
    <col min="4" max="4" width="15" customWidth="1"/>
    <col min="5" max="5" width="8" customWidth="1"/>
    <col min="6" max="6" width="16" customWidth="1"/>
    <col min="7" max="7" width="30" customWidth="1"/>
    <col min="8" max="8" width="15" customWidth="1"/>
    <col min="9" max="9" width="14" customWidth="1"/>
    <col min="10" max="10" width="9" customWidth="1"/>
    <col min="11" max="11" width="11" customWidth="1"/>
    <col min="12" max="12" width="10" customWidth="1"/>
    <col min="13" max="13" width="13" customWidth="1"/>
    <col min="14" max="14" width="10" customWidth="1"/>
  </cols>
  <sheetData>
    <row r="1" spans="1:14" ht="16.5" x14ac:dyDescent="0.35">
      <c r="A1" s="3" t="s">
        <v>97</v>
      </c>
    </row>
    <row r="2" spans="1:14" x14ac:dyDescent="0.35">
      <c r="A2" s="4" t="s">
        <v>98</v>
      </c>
    </row>
    <row r="3" spans="1:14" x14ac:dyDescent="0.35">
      <c r="J3" s="4" t="s">
        <v>80</v>
      </c>
    </row>
    <row r="4" spans="1:14" ht="26" x14ac:dyDescent="0.35">
      <c r="A4" s="5" t="s">
        <v>33</v>
      </c>
      <c r="B4" s="5" t="s">
        <v>81</v>
      </c>
      <c r="C4" s="5" t="s">
        <v>82</v>
      </c>
      <c r="D4" s="5" t="s">
        <v>83</v>
      </c>
      <c r="E4" s="5" t="s">
        <v>40</v>
      </c>
      <c r="F4" s="5" t="s">
        <v>41</v>
      </c>
      <c r="G4" s="5" t="s">
        <v>84</v>
      </c>
      <c r="H4" s="5" t="s">
        <v>85</v>
      </c>
      <c r="I4" s="5" t="s">
        <v>86</v>
      </c>
      <c r="J4" s="14" t="s">
        <v>37</v>
      </c>
      <c r="K4" s="14" t="s">
        <v>39</v>
      </c>
      <c r="L4" s="14" t="s">
        <v>87</v>
      </c>
      <c r="M4" s="14" t="s">
        <v>88</v>
      </c>
      <c r="N4" s="14" t="s">
        <v>89</v>
      </c>
    </row>
    <row r="5" spans="1:14" x14ac:dyDescent="0.35">
      <c r="A5" s="9">
        <v>1</v>
      </c>
      <c r="B5" s="6" t="s">
        <v>47</v>
      </c>
      <c r="C5" s="6" t="s">
        <v>99</v>
      </c>
      <c r="D5" s="9" t="str">
        <f>"10."&amp;(Info!$B$5+INT((L5)/65536))&amp;"."&amp;INT(MOD((L5),65536)/256)&amp;"."&amp;MOD((L5),256)</f>
        <v>10.16.0.0</v>
      </c>
      <c r="E5" s="9" t="str">
        <f>"/"&amp;INDEX(Kebutuhan!$H$5:$H$24,MATCH($B5,Kebutuhan!$C$5:$C$24,0))</f>
        <v>/19</v>
      </c>
      <c r="F5" s="9" t="str">
        <f>INDEX(Kebutuhan!$I$5:$I$24,MATCH($B5,Kebutuhan!$C$5:$C$24,0))</f>
        <v>255.255.224.0</v>
      </c>
      <c r="G5" s="9" t="str">
        <f>"10."&amp;(Info!$B$5+INT((L5+1)/65536))&amp;"."&amp;INT(MOD((L5+1),65536)/256)&amp;"."&amp;MOD((L5+1),256)&amp;" – "&amp;"10."&amp;(Info!$B$5+INT((L5+K5-2)/65536))&amp;"."&amp;INT(MOD((L5+K5-2),65536)/256)&amp;"."&amp;MOD((L5+K5-2),256)</f>
        <v>10.16.0.1 – 10.16.31.254</v>
      </c>
      <c r="H5" s="9" t="str">
        <f>"10."&amp;(Info!$B$5+INT((L5+K5-1)/65536))&amp;"."&amp;INT(MOD((L5+K5-1),65536)/256)&amp;"."&amp;MOD((L5+K5-1),256)</f>
        <v>10.16.31.255</v>
      </c>
      <c r="I5" s="9" t="str">
        <f>IF(INDEX(Kebutuhan!$D$5:$D$24,MATCH($B5,Kebutuhan!$C$5:$C$24,0))="Link","—","10."&amp;(Info!$B$5+INT((L5+1)/65536))&amp;"."&amp;INT(MOD((L5+1),65536)/256)&amp;"."&amp;MOD((L5+1),256))</f>
        <v>10.16.0.1</v>
      </c>
      <c r="J5" s="15">
        <f>INDEX(Kebutuhan!$E$5:$E$24,MATCH($B5,Kebutuhan!$C$5:$C$24,0))</f>
        <v>6000</v>
      </c>
      <c r="K5" s="15">
        <f>INDEX(Kebutuhan!$G$5:$G$24,MATCH($B5,Kebutuhan!$C$5:$C$24,0))</f>
        <v>8192</v>
      </c>
      <c r="L5" s="23">
        <v>0</v>
      </c>
      <c r="M5" s="16" t="str">
        <f t="shared" ref="M5:M24" si="0">IF(MOD(L5,K5)=0,"OK","TIDAK ALIGNED")</f>
        <v>OK</v>
      </c>
      <c r="N5" s="16" t="s">
        <v>90</v>
      </c>
    </row>
    <row r="6" spans="1:14" x14ac:dyDescent="0.35">
      <c r="A6" s="17">
        <v>2</v>
      </c>
      <c r="B6" s="18" t="s">
        <v>48</v>
      </c>
      <c r="C6" s="18" t="s">
        <v>99</v>
      </c>
      <c r="D6" s="17" t="str">
        <f>"10."&amp;(Info!$B$5+INT((L6)/65536))&amp;"."&amp;INT(MOD((L6),65536)/256)&amp;"."&amp;MOD((L6),256)</f>
        <v>10.16.32.0</v>
      </c>
      <c r="E6" s="17" t="str">
        <f>"/"&amp;INDEX(Kebutuhan!$H$5:$H$24,MATCH($B6,Kebutuhan!$C$5:$C$24,0))</f>
        <v>/24</v>
      </c>
      <c r="F6" s="17" t="str">
        <f>INDEX(Kebutuhan!$I$5:$I$24,MATCH($B6,Kebutuhan!$C$5:$C$24,0))</f>
        <v>255.255.255.0</v>
      </c>
      <c r="G6" s="17" t="str">
        <f>"10."&amp;(Info!$B$5+INT((L6+1)/65536))&amp;"."&amp;INT(MOD((L6+1),65536)/256)&amp;"."&amp;MOD((L6+1),256)&amp;" – "&amp;"10."&amp;(Info!$B$5+INT((L6+K6-2)/65536))&amp;"."&amp;INT(MOD((L6+K6-2),65536)/256)&amp;"."&amp;MOD((L6+K6-2),256)</f>
        <v>10.16.32.1 – 10.16.32.254</v>
      </c>
      <c r="H6" s="17" t="str">
        <f>"10."&amp;(Info!$B$5+INT((L6+K6-1)/65536))&amp;"."&amp;INT(MOD((L6+K6-1),65536)/256)&amp;"."&amp;MOD((L6+K6-1),256)</f>
        <v>10.16.32.255</v>
      </c>
      <c r="I6" s="17" t="str">
        <f>IF(INDEX(Kebutuhan!$D$5:$D$24,MATCH($B6,Kebutuhan!$C$5:$C$24,0))="Link","—","10."&amp;(Info!$B$5+INT((L6+1)/65536))&amp;"."&amp;INT(MOD((L6+1),65536)/256)&amp;"."&amp;MOD((L6+1),256))</f>
        <v>10.16.32.1</v>
      </c>
      <c r="J6" s="15">
        <f>INDEX(Kebutuhan!$E$5:$E$24,MATCH($B6,Kebutuhan!$C$5:$C$24,0))</f>
        <v>180</v>
      </c>
      <c r="K6" s="15">
        <f>INDEX(Kebutuhan!$G$5:$G$24,MATCH($B6,Kebutuhan!$C$5:$C$24,0))</f>
        <v>256</v>
      </c>
      <c r="L6" s="23">
        <v>8192</v>
      </c>
      <c r="M6" s="16" t="str">
        <f t="shared" si="0"/>
        <v>OK</v>
      </c>
      <c r="N6" s="16" t="str">
        <f t="shared" ref="N6:N24" si="1">IF(L6&gt;=L5+K5,"OK","OVERLAP")</f>
        <v>OK</v>
      </c>
    </row>
    <row r="7" spans="1:14" x14ac:dyDescent="0.35">
      <c r="A7" s="9">
        <v>3</v>
      </c>
      <c r="B7" s="6" t="s">
        <v>65</v>
      </c>
      <c r="C7" s="6" t="s">
        <v>99</v>
      </c>
      <c r="D7" s="9" t="str">
        <f>"10."&amp;(Info!$B$5+INT((L7)/65536))&amp;"."&amp;INT(MOD((L7),65536)/256)&amp;"."&amp;MOD((L7),256)</f>
        <v>10.16.33.0</v>
      </c>
      <c r="E7" s="9" t="str">
        <f>"/"&amp;INDEX(Kebutuhan!$H$5:$H$24,MATCH($B7,Kebutuhan!$C$5:$C$24,0))</f>
        <v>/30</v>
      </c>
      <c r="F7" s="9" t="str">
        <f>INDEX(Kebutuhan!$I$5:$I$24,MATCH($B7,Kebutuhan!$C$5:$C$24,0))</f>
        <v>255.255.255.252</v>
      </c>
      <c r="G7" s="9" t="str">
        <f>"10."&amp;(Info!$B$5+INT((L7+1)/65536))&amp;"."&amp;INT(MOD((L7+1),65536)/256)&amp;"."&amp;MOD((L7+1),256)&amp;" – "&amp;"10."&amp;(Info!$B$5+INT((L7+K7-2)/65536))&amp;"."&amp;INT(MOD((L7+K7-2),65536)/256)&amp;"."&amp;MOD((L7+K7-2),256)</f>
        <v>10.16.33.1 – 10.16.33.2</v>
      </c>
      <c r="H7" s="9" t="str">
        <f>"10."&amp;(Info!$B$5+INT((L7+K7-1)/65536))&amp;"."&amp;INT(MOD((L7+K7-1),65536)/256)&amp;"."&amp;MOD((L7+K7-1),256)</f>
        <v>10.16.33.3</v>
      </c>
      <c r="I7" s="9" t="str">
        <f>IF(INDEX(Kebutuhan!$D$5:$D$24,MATCH($B7,Kebutuhan!$C$5:$C$24,0))="Link","—","10."&amp;(Info!$B$5+INT((L7+1)/65536))&amp;"."&amp;INT(MOD((L7+1),65536)/256)&amp;"."&amp;MOD((L7+1),256))</f>
        <v>—</v>
      </c>
      <c r="J7" s="15">
        <f>INDEX(Kebutuhan!$E$5:$E$24,MATCH($B7,Kebutuhan!$C$5:$C$24,0))</f>
        <v>2</v>
      </c>
      <c r="K7" s="15">
        <f>INDEX(Kebutuhan!$G$5:$G$24,MATCH($B7,Kebutuhan!$C$5:$C$24,0))</f>
        <v>4</v>
      </c>
      <c r="L7" s="23">
        <v>8448</v>
      </c>
      <c r="M7" s="16" t="str">
        <f t="shared" si="0"/>
        <v>OK</v>
      </c>
      <c r="N7" s="16" t="str">
        <f t="shared" si="1"/>
        <v>OK</v>
      </c>
    </row>
    <row r="8" spans="1:14" x14ac:dyDescent="0.35">
      <c r="A8" s="17">
        <v>4</v>
      </c>
      <c r="B8" s="18" t="s">
        <v>62</v>
      </c>
      <c r="C8" s="18" t="s">
        <v>100</v>
      </c>
      <c r="D8" s="17" t="str">
        <f>"10."&amp;(Info!$B$5+INT((L8)/65536))&amp;"."&amp;INT(MOD((L8),65536)/256)&amp;"."&amp;MOD((L8),256)</f>
        <v>10.16.64.0</v>
      </c>
      <c r="E8" s="17" t="str">
        <f>"/"&amp;INDEX(Kebutuhan!$H$5:$H$24,MATCH($B8,Kebutuhan!$C$5:$C$24,0))</f>
        <v>/19</v>
      </c>
      <c r="F8" s="17" t="str">
        <f>INDEX(Kebutuhan!$I$5:$I$24,MATCH($B8,Kebutuhan!$C$5:$C$24,0))</f>
        <v>255.255.224.0</v>
      </c>
      <c r="G8" s="17" t="str">
        <f>"10."&amp;(Info!$B$5+INT((L8+1)/65536))&amp;"."&amp;INT(MOD((L8+1),65536)/256)&amp;"."&amp;MOD((L8+1),256)&amp;" – "&amp;"10."&amp;(Info!$B$5+INT((L8+K8-2)/65536))&amp;"."&amp;INT(MOD((L8+K8-2),65536)/256)&amp;"."&amp;MOD((L8+K8-2),256)</f>
        <v>10.16.64.1 – 10.16.95.254</v>
      </c>
      <c r="H8" s="17" t="str">
        <f>"10."&amp;(Info!$B$5+INT((L8+K8-1)/65536))&amp;"."&amp;INT(MOD((L8+K8-1),65536)/256)&amp;"."&amp;MOD((L8+K8-1),256)</f>
        <v>10.16.95.255</v>
      </c>
      <c r="I8" s="17" t="str">
        <f>IF(INDEX(Kebutuhan!$D$5:$D$24,MATCH($B8,Kebutuhan!$C$5:$C$24,0))="Link","—","10."&amp;(Info!$B$5+INT((L8+1)/65536))&amp;"."&amp;INT(MOD((L8+1),65536)/256)&amp;"."&amp;MOD((L8+1),256))</f>
        <v>10.16.64.1</v>
      </c>
      <c r="J8" s="15">
        <f>INDEX(Kebutuhan!$E$5:$E$24,MATCH($B8,Kebutuhan!$C$5:$C$24,0))</f>
        <v>4500</v>
      </c>
      <c r="K8" s="15">
        <f>INDEX(Kebutuhan!$G$5:$G$24,MATCH($B8,Kebutuhan!$C$5:$C$24,0))</f>
        <v>8192</v>
      </c>
      <c r="L8" s="23">
        <v>16384</v>
      </c>
      <c r="M8" s="16" t="str">
        <f t="shared" si="0"/>
        <v>OK</v>
      </c>
      <c r="N8" s="16" t="str">
        <f t="shared" si="1"/>
        <v>OK</v>
      </c>
    </row>
    <row r="9" spans="1:14" x14ac:dyDescent="0.35">
      <c r="A9" s="9">
        <v>5</v>
      </c>
      <c r="B9" s="6" t="s">
        <v>63</v>
      </c>
      <c r="C9" s="6" t="s">
        <v>100</v>
      </c>
      <c r="D9" s="9" t="str">
        <f>"10."&amp;(Info!$B$5+INT((L9)/65536))&amp;"."&amp;INT(MOD((L9),65536)/256)&amp;"."&amp;MOD((L9),256)</f>
        <v>10.16.96.0</v>
      </c>
      <c r="E9" s="9" t="str">
        <f>"/"&amp;INDEX(Kebutuhan!$H$5:$H$24,MATCH($B9,Kebutuhan!$C$5:$C$24,0))</f>
        <v>/24</v>
      </c>
      <c r="F9" s="9" t="str">
        <f>INDEX(Kebutuhan!$I$5:$I$24,MATCH($B9,Kebutuhan!$C$5:$C$24,0))</f>
        <v>255.255.255.0</v>
      </c>
      <c r="G9" s="9" t="str">
        <f>"10."&amp;(Info!$B$5+INT((L9+1)/65536))&amp;"."&amp;INT(MOD((L9+1),65536)/256)&amp;"."&amp;MOD((L9+1),256)&amp;" – "&amp;"10."&amp;(Info!$B$5+INT((L9+K9-2)/65536))&amp;"."&amp;INT(MOD((L9+K9-2),65536)/256)&amp;"."&amp;MOD((L9+K9-2),256)</f>
        <v>10.16.96.1 – 10.16.96.254</v>
      </c>
      <c r="H9" s="9" t="str">
        <f>"10."&amp;(Info!$B$5+INT((L9+K9-1)/65536))&amp;"."&amp;INT(MOD((L9+K9-1),65536)/256)&amp;"."&amp;MOD((L9+K9-1),256)</f>
        <v>10.16.96.255</v>
      </c>
      <c r="I9" s="9" t="str">
        <f>IF(INDEX(Kebutuhan!$D$5:$D$24,MATCH($B9,Kebutuhan!$C$5:$C$24,0))="Link","—","10."&amp;(Info!$B$5+INT((L9+1)/65536))&amp;"."&amp;INT(MOD((L9+1),65536)/256)&amp;"."&amp;MOD((L9+1),256))</f>
        <v>10.16.96.1</v>
      </c>
      <c r="J9" s="15">
        <f>INDEX(Kebutuhan!$E$5:$E$24,MATCH($B9,Kebutuhan!$C$5:$C$24,0))</f>
        <v>220</v>
      </c>
      <c r="K9" s="15">
        <f>INDEX(Kebutuhan!$G$5:$G$24,MATCH($B9,Kebutuhan!$C$5:$C$24,0))</f>
        <v>256</v>
      </c>
      <c r="L9" s="23">
        <v>24576</v>
      </c>
      <c r="M9" s="16" t="str">
        <f t="shared" si="0"/>
        <v>OK</v>
      </c>
      <c r="N9" s="16" t="str">
        <f t="shared" si="1"/>
        <v>OK</v>
      </c>
    </row>
    <row r="10" spans="1:14" x14ac:dyDescent="0.35">
      <c r="A10" s="17">
        <v>6</v>
      </c>
      <c r="B10" s="18" t="s">
        <v>74</v>
      </c>
      <c r="C10" s="18" t="s">
        <v>100</v>
      </c>
      <c r="D10" s="17" t="str">
        <f>"10."&amp;(Info!$B$5+INT((L10)/65536))&amp;"."&amp;INT(MOD((L10),65536)/256)&amp;"."&amp;MOD((L10),256)</f>
        <v>10.16.97.0</v>
      </c>
      <c r="E10" s="17" t="str">
        <f>"/"&amp;INDEX(Kebutuhan!$H$5:$H$24,MATCH($B10,Kebutuhan!$C$5:$C$24,0))</f>
        <v>/30</v>
      </c>
      <c r="F10" s="17" t="str">
        <f>INDEX(Kebutuhan!$I$5:$I$24,MATCH($B10,Kebutuhan!$C$5:$C$24,0))</f>
        <v>255.255.255.252</v>
      </c>
      <c r="G10" s="17" t="str">
        <f>"10."&amp;(Info!$B$5+INT((L10+1)/65536))&amp;"."&amp;INT(MOD((L10+1),65536)/256)&amp;"."&amp;MOD((L10+1),256)&amp;" – "&amp;"10."&amp;(Info!$B$5+INT((L10+K10-2)/65536))&amp;"."&amp;INT(MOD((L10+K10-2),65536)/256)&amp;"."&amp;MOD((L10+K10-2),256)</f>
        <v>10.16.97.1 – 10.16.97.2</v>
      </c>
      <c r="H10" s="17" t="str">
        <f>"10."&amp;(Info!$B$5+INT((L10+K10-1)/65536))&amp;"."&amp;INT(MOD((L10+K10-1),65536)/256)&amp;"."&amp;MOD((L10+K10-1),256)</f>
        <v>10.16.97.3</v>
      </c>
      <c r="I10" s="17" t="str">
        <f>IF(INDEX(Kebutuhan!$D$5:$D$24,MATCH($B10,Kebutuhan!$C$5:$C$24,0))="Link","—","10."&amp;(Info!$B$5+INT((L10+1)/65536))&amp;"."&amp;INT(MOD((L10+1),65536)/256)&amp;"."&amp;MOD((L10+1),256))</f>
        <v>—</v>
      </c>
      <c r="J10" s="15">
        <f>INDEX(Kebutuhan!$E$5:$E$24,MATCH($B10,Kebutuhan!$C$5:$C$24,0))</f>
        <v>2</v>
      </c>
      <c r="K10" s="15">
        <f>INDEX(Kebutuhan!$G$5:$G$24,MATCH($B10,Kebutuhan!$C$5:$C$24,0))</f>
        <v>4</v>
      </c>
      <c r="L10" s="23">
        <v>24832</v>
      </c>
      <c r="M10" s="16" t="str">
        <f t="shared" si="0"/>
        <v>OK</v>
      </c>
      <c r="N10" s="16" t="str">
        <f t="shared" si="1"/>
        <v>OK</v>
      </c>
    </row>
    <row r="11" spans="1:14" x14ac:dyDescent="0.35">
      <c r="A11" s="9">
        <v>7</v>
      </c>
      <c r="B11" s="6" t="s">
        <v>59</v>
      </c>
      <c r="C11" s="6" t="s">
        <v>101</v>
      </c>
      <c r="D11" s="9" t="str">
        <f>"10."&amp;(Info!$B$5+INT((L11)/65536))&amp;"."&amp;INT(MOD((L11),65536)/256)&amp;"."&amp;MOD((L11),256)</f>
        <v>10.16.128.0</v>
      </c>
      <c r="E11" s="9" t="str">
        <f>"/"&amp;INDEX(Kebutuhan!$H$5:$H$24,MATCH($B11,Kebutuhan!$C$5:$C$24,0))</f>
        <v>/19</v>
      </c>
      <c r="F11" s="9" t="str">
        <f>INDEX(Kebutuhan!$I$5:$I$24,MATCH($B11,Kebutuhan!$C$5:$C$24,0))</f>
        <v>255.255.224.0</v>
      </c>
      <c r="G11" s="9" t="str">
        <f>"10."&amp;(Info!$B$5+INT((L11+1)/65536))&amp;"."&amp;INT(MOD((L11+1),65536)/256)&amp;"."&amp;MOD((L11+1),256)&amp;" – "&amp;"10."&amp;(Info!$B$5+INT((L11+K11-2)/65536))&amp;"."&amp;INT(MOD((L11+K11-2),65536)/256)&amp;"."&amp;MOD((L11+K11-2),256)</f>
        <v>10.16.128.1 – 10.16.159.254</v>
      </c>
      <c r="H11" s="9" t="str">
        <f>"10."&amp;(Info!$B$5+INT((L11+K11-1)/65536))&amp;"."&amp;INT(MOD((L11+K11-1),65536)/256)&amp;"."&amp;MOD((L11+K11-1),256)</f>
        <v>10.16.159.255</v>
      </c>
      <c r="I11" s="9" t="str">
        <f>IF(INDEX(Kebutuhan!$D$5:$D$24,MATCH($B11,Kebutuhan!$C$5:$C$24,0))="Link","—","10."&amp;(Info!$B$5+INT((L11+1)/65536))&amp;"."&amp;INT(MOD((L11+1),65536)/256)&amp;"."&amp;MOD((L11+1),256))</f>
        <v>10.16.128.1</v>
      </c>
      <c r="J11" s="15">
        <f>INDEX(Kebutuhan!$E$5:$E$24,MATCH($B11,Kebutuhan!$C$5:$C$24,0))</f>
        <v>5500</v>
      </c>
      <c r="K11" s="15">
        <f>INDEX(Kebutuhan!$G$5:$G$24,MATCH($B11,Kebutuhan!$C$5:$C$24,0))</f>
        <v>8192</v>
      </c>
      <c r="L11" s="23">
        <v>32768</v>
      </c>
      <c r="M11" s="16" t="str">
        <f t="shared" si="0"/>
        <v>OK</v>
      </c>
      <c r="N11" s="16" t="str">
        <f t="shared" si="1"/>
        <v>OK</v>
      </c>
    </row>
    <row r="12" spans="1:14" x14ac:dyDescent="0.35">
      <c r="A12" s="17">
        <v>8</v>
      </c>
      <c r="B12" s="18" t="s">
        <v>60</v>
      </c>
      <c r="C12" s="18" t="s">
        <v>101</v>
      </c>
      <c r="D12" s="17" t="str">
        <f>"10."&amp;(Info!$B$5+INT((L12)/65536))&amp;"."&amp;INT(MOD((L12),65536)/256)&amp;"."&amp;MOD((L12),256)</f>
        <v>10.16.160.0</v>
      </c>
      <c r="E12" s="17" t="str">
        <f>"/"&amp;INDEX(Kebutuhan!$H$5:$H$24,MATCH($B12,Kebutuhan!$C$5:$C$24,0))</f>
        <v>/22</v>
      </c>
      <c r="F12" s="17" t="str">
        <f>INDEX(Kebutuhan!$I$5:$I$24,MATCH($B12,Kebutuhan!$C$5:$C$24,0))</f>
        <v>255.255.252.0</v>
      </c>
      <c r="G12" s="17" t="str">
        <f>"10."&amp;(Info!$B$5+INT((L12+1)/65536))&amp;"."&amp;INT(MOD((L12+1),65536)/256)&amp;"."&amp;MOD((L12+1),256)&amp;" – "&amp;"10."&amp;(Info!$B$5+INT((L12+K12-2)/65536))&amp;"."&amp;INT(MOD((L12+K12-2),65536)/256)&amp;"."&amp;MOD((L12+K12-2),256)</f>
        <v>10.16.160.1 – 10.16.163.254</v>
      </c>
      <c r="H12" s="17" t="str">
        <f>"10."&amp;(Info!$B$5+INT((L12+K12-1)/65536))&amp;"."&amp;INT(MOD((L12+K12-1),65536)/256)&amp;"."&amp;MOD((L12+K12-1),256)</f>
        <v>10.16.163.255</v>
      </c>
      <c r="I12" s="17" t="str">
        <f>IF(INDEX(Kebutuhan!$D$5:$D$24,MATCH($B12,Kebutuhan!$C$5:$C$24,0))="Link","—","10."&amp;(Info!$B$5+INT((L12+1)/65536))&amp;"."&amp;INT(MOD((L12+1),65536)/256)&amp;"."&amp;MOD((L12+1),256))</f>
        <v>10.16.160.1</v>
      </c>
      <c r="J12" s="15">
        <f>INDEX(Kebutuhan!$E$5:$E$24,MATCH($B12,Kebutuhan!$C$5:$C$24,0))</f>
        <v>700</v>
      </c>
      <c r="K12" s="15">
        <f>INDEX(Kebutuhan!$G$5:$G$24,MATCH($B12,Kebutuhan!$C$5:$C$24,0))</f>
        <v>1024</v>
      </c>
      <c r="L12" s="23">
        <v>40960</v>
      </c>
      <c r="M12" s="16" t="str">
        <f t="shared" si="0"/>
        <v>OK</v>
      </c>
      <c r="N12" s="16" t="str">
        <f t="shared" si="1"/>
        <v>OK</v>
      </c>
    </row>
    <row r="13" spans="1:14" x14ac:dyDescent="0.35">
      <c r="A13" s="9">
        <v>9</v>
      </c>
      <c r="B13" s="6" t="s">
        <v>72</v>
      </c>
      <c r="C13" s="6" t="s">
        <v>101</v>
      </c>
      <c r="D13" s="9" t="str">
        <f>"10."&amp;(Info!$B$5+INT((L13)/65536))&amp;"."&amp;INT(MOD((L13),65536)/256)&amp;"."&amp;MOD((L13),256)</f>
        <v>10.16.164.0</v>
      </c>
      <c r="E13" s="9" t="str">
        <f>"/"&amp;INDEX(Kebutuhan!$H$5:$H$24,MATCH($B13,Kebutuhan!$C$5:$C$24,0))</f>
        <v>/30</v>
      </c>
      <c r="F13" s="9" t="str">
        <f>INDEX(Kebutuhan!$I$5:$I$24,MATCH($B13,Kebutuhan!$C$5:$C$24,0))</f>
        <v>255.255.255.252</v>
      </c>
      <c r="G13" s="9" t="str">
        <f>"10."&amp;(Info!$B$5+INT((L13+1)/65536))&amp;"."&amp;INT(MOD((L13+1),65536)/256)&amp;"."&amp;MOD((L13+1),256)&amp;" – "&amp;"10."&amp;(Info!$B$5+INT((L13+K13-2)/65536))&amp;"."&amp;INT(MOD((L13+K13-2),65536)/256)&amp;"."&amp;MOD((L13+K13-2),256)</f>
        <v>10.16.164.1 – 10.16.164.2</v>
      </c>
      <c r="H13" s="9" t="str">
        <f>"10."&amp;(Info!$B$5+INT((L13+K13-1)/65536))&amp;"."&amp;INT(MOD((L13+K13-1),65536)/256)&amp;"."&amp;MOD((L13+K13-1),256)</f>
        <v>10.16.164.3</v>
      </c>
      <c r="I13" s="9" t="str">
        <f>IF(INDEX(Kebutuhan!$D$5:$D$24,MATCH($B13,Kebutuhan!$C$5:$C$24,0))="Link","—","10."&amp;(Info!$B$5+INT((L13+1)/65536))&amp;"."&amp;INT(MOD((L13+1),65536)/256)&amp;"."&amp;MOD((L13+1),256))</f>
        <v>—</v>
      </c>
      <c r="J13" s="15">
        <f>INDEX(Kebutuhan!$E$5:$E$24,MATCH($B13,Kebutuhan!$C$5:$C$24,0))</f>
        <v>2</v>
      </c>
      <c r="K13" s="15">
        <f>INDEX(Kebutuhan!$G$5:$G$24,MATCH($B13,Kebutuhan!$C$5:$C$24,0))</f>
        <v>4</v>
      </c>
      <c r="L13" s="23">
        <v>41984</v>
      </c>
      <c r="M13" s="16" t="str">
        <f t="shared" si="0"/>
        <v>OK</v>
      </c>
      <c r="N13" s="16" t="str">
        <f t="shared" si="1"/>
        <v>OK</v>
      </c>
    </row>
    <row r="14" spans="1:14" x14ac:dyDescent="0.35">
      <c r="A14" s="17">
        <v>10</v>
      </c>
      <c r="B14" s="18" t="s">
        <v>56</v>
      </c>
      <c r="C14" s="18" t="s">
        <v>102</v>
      </c>
      <c r="D14" s="17" t="str">
        <f>"10."&amp;(Info!$B$5+INT((L14)/65536))&amp;"."&amp;INT(MOD((L14),65536)/256)&amp;"."&amp;MOD((L14),256)</f>
        <v>10.16.192.0</v>
      </c>
      <c r="E14" s="17" t="str">
        <f>"/"&amp;INDEX(Kebutuhan!$H$5:$H$24,MATCH($B14,Kebutuhan!$C$5:$C$24,0))</f>
        <v>/19</v>
      </c>
      <c r="F14" s="17" t="str">
        <f>INDEX(Kebutuhan!$I$5:$I$24,MATCH($B14,Kebutuhan!$C$5:$C$24,0))</f>
        <v>255.255.224.0</v>
      </c>
      <c r="G14" s="17" t="str">
        <f>"10."&amp;(Info!$B$5+INT((L14+1)/65536))&amp;"."&amp;INT(MOD((L14+1),65536)/256)&amp;"."&amp;MOD((L14+1),256)&amp;" – "&amp;"10."&amp;(Info!$B$5+INT((L14+K14-2)/65536))&amp;"."&amp;INT(MOD((L14+K14-2),65536)/256)&amp;"."&amp;MOD((L14+K14-2),256)</f>
        <v>10.16.192.1 – 10.16.223.254</v>
      </c>
      <c r="H14" s="17" t="str">
        <f>"10."&amp;(Info!$B$5+INT((L14+K14-1)/65536))&amp;"."&amp;INT(MOD((L14+K14-1),65536)/256)&amp;"."&amp;MOD((L14+K14-1),256)</f>
        <v>10.16.223.255</v>
      </c>
      <c r="I14" s="17" t="str">
        <f>IF(INDEX(Kebutuhan!$D$5:$D$24,MATCH($B14,Kebutuhan!$C$5:$C$24,0))="Link","—","10."&amp;(Info!$B$5+INT((L14+1)/65536))&amp;"."&amp;INT(MOD((L14+1),65536)/256)&amp;"."&amp;MOD((L14+1),256))</f>
        <v>10.16.192.1</v>
      </c>
      <c r="J14" s="15">
        <f>INDEX(Kebutuhan!$E$5:$E$24,MATCH($B14,Kebutuhan!$C$5:$C$24,0))</f>
        <v>6500</v>
      </c>
      <c r="K14" s="15">
        <f>INDEX(Kebutuhan!$G$5:$G$24,MATCH($B14,Kebutuhan!$C$5:$C$24,0))</f>
        <v>8192</v>
      </c>
      <c r="L14" s="23">
        <v>49152</v>
      </c>
      <c r="M14" s="16" t="str">
        <f t="shared" si="0"/>
        <v>OK</v>
      </c>
      <c r="N14" s="16" t="str">
        <f t="shared" si="1"/>
        <v>OK</v>
      </c>
    </row>
    <row r="15" spans="1:14" x14ac:dyDescent="0.35">
      <c r="A15" s="9">
        <v>11</v>
      </c>
      <c r="B15" s="6" t="s">
        <v>57</v>
      </c>
      <c r="C15" s="6" t="s">
        <v>102</v>
      </c>
      <c r="D15" s="9" t="str">
        <f>"10."&amp;(Info!$B$5+INT((L15)/65536))&amp;"."&amp;INT(MOD((L15),65536)/256)&amp;"."&amp;MOD((L15),256)</f>
        <v>10.16.224.0</v>
      </c>
      <c r="E15" s="9" t="str">
        <f>"/"&amp;INDEX(Kebutuhan!$H$5:$H$24,MATCH($B15,Kebutuhan!$C$5:$C$24,0))</f>
        <v>/25</v>
      </c>
      <c r="F15" s="9" t="str">
        <f>INDEX(Kebutuhan!$I$5:$I$24,MATCH($B15,Kebutuhan!$C$5:$C$24,0))</f>
        <v>255.255.255.128</v>
      </c>
      <c r="G15" s="9" t="str">
        <f>"10."&amp;(Info!$B$5+INT((L15+1)/65536))&amp;"."&amp;INT(MOD((L15+1),65536)/256)&amp;"."&amp;MOD((L15+1),256)&amp;" – "&amp;"10."&amp;(Info!$B$5+INT((L15+K15-2)/65536))&amp;"."&amp;INT(MOD((L15+K15-2),65536)/256)&amp;"."&amp;MOD((L15+K15-2),256)</f>
        <v>10.16.224.1 – 10.16.224.126</v>
      </c>
      <c r="H15" s="9" t="str">
        <f>"10."&amp;(Info!$B$5+INT((L15+K15-1)/65536))&amp;"."&amp;INT(MOD((L15+K15-1),65536)/256)&amp;"."&amp;MOD((L15+K15-1),256)</f>
        <v>10.16.224.127</v>
      </c>
      <c r="I15" s="9" t="str">
        <f>IF(INDEX(Kebutuhan!$D$5:$D$24,MATCH($B15,Kebutuhan!$C$5:$C$24,0))="Link","—","10."&amp;(Info!$B$5+INT((L15+1)/65536))&amp;"."&amp;INT(MOD((L15+1),65536)/256)&amp;"."&amp;MOD((L15+1),256))</f>
        <v>10.16.224.1</v>
      </c>
      <c r="J15" s="15">
        <f>INDEX(Kebutuhan!$E$5:$E$24,MATCH($B15,Kebutuhan!$C$5:$C$24,0))</f>
        <v>90</v>
      </c>
      <c r="K15" s="15">
        <f>INDEX(Kebutuhan!$G$5:$G$24,MATCH($B15,Kebutuhan!$C$5:$C$24,0))</f>
        <v>128</v>
      </c>
      <c r="L15" s="23">
        <v>57344</v>
      </c>
      <c r="M15" s="16" t="str">
        <f t="shared" si="0"/>
        <v>OK</v>
      </c>
      <c r="N15" s="16" t="str">
        <f t="shared" si="1"/>
        <v>OK</v>
      </c>
    </row>
    <row r="16" spans="1:14" x14ac:dyDescent="0.35">
      <c r="A16" s="17">
        <v>12</v>
      </c>
      <c r="B16" s="18" t="s">
        <v>70</v>
      </c>
      <c r="C16" s="18" t="s">
        <v>102</v>
      </c>
      <c r="D16" s="17" t="str">
        <f>"10."&amp;(Info!$B$5+INT((L16)/65536))&amp;"."&amp;INT(MOD((L16),65536)/256)&amp;"."&amp;MOD((L16),256)</f>
        <v>10.16.224.128</v>
      </c>
      <c r="E16" s="17" t="str">
        <f>"/"&amp;INDEX(Kebutuhan!$H$5:$H$24,MATCH($B16,Kebutuhan!$C$5:$C$24,0))</f>
        <v>/30</v>
      </c>
      <c r="F16" s="17" t="str">
        <f>INDEX(Kebutuhan!$I$5:$I$24,MATCH($B16,Kebutuhan!$C$5:$C$24,0))</f>
        <v>255.255.255.252</v>
      </c>
      <c r="G16" s="17" t="str">
        <f>"10."&amp;(Info!$B$5+INT((L16+1)/65536))&amp;"."&amp;INT(MOD((L16+1),65536)/256)&amp;"."&amp;MOD((L16+1),256)&amp;" – "&amp;"10."&amp;(Info!$B$5+INT((L16+K16-2)/65536))&amp;"."&amp;INT(MOD((L16+K16-2),65536)/256)&amp;"."&amp;MOD((L16+K16-2),256)</f>
        <v>10.16.224.129 – 10.16.224.130</v>
      </c>
      <c r="H16" s="17" t="str">
        <f>"10."&amp;(Info!$B$5+INT((L16+K16-1)/65536))&amp;"."&amp;INT(MOD((L16+K16-1),65536)/256)&amp;"."&amp;MOD((L16+K16-1),256)</f>
        <v>10.16.224.131</v>
      </c>
      <c r="I16" s="17" t="str">
        <f>IF(INDEX(Kebutuhan!$D$5:$D$24,MATCH($B16,Kebutuhan!$C$5:$C$24,0))="Link","—","10."&amp;(Info!$B$5+INT((L16+1)/65536))&amp;"."&amp;INT(MOD((L16+1),65536)/256)&amp;"."&amp;MOD((L16+1),256))</f>
        <v>—</v>
      </c>
      <c r="J16" s="15">
        <f>INDEX(Kebutuhan!$E$5:$E$24,MATCH($B16,Kebutuhan!$C$5:$C$24,0))</f>
        <v>2</v>
      </c>
      <c r="K16" s="15">
        <f>INDEX(Kebutuhan!$G$5:$G$24,MATCH($B16,Kebutuhan!$C$5:$C$24,0))</f>
        <v>4</v>
      </c>
      <c r="L16" s="23">
        <v>57472</v>
      </c>
      <c r="M16" s="16" t="str">
        <f t="shared" si="0"/>
        <v>OK</v>
      </c>
      <c r="N16" s="16" t="str">
        <f t="shared" si="1"/>
        <v>OK</v>
      </c>
    </row>
    <row r="17" spans="1:14" x14ac:dyDescent="0.35">
      <c r="A17" s="9">
        <v>13</v>
      </c>
      <c r="B17" s="6" t="s">
        <v>43</v>
      </c>
      <c r="C17" s="6" t="s">
        <v>103</v>
      </c>
      <c r="D17" s="9" t="str">
        <f>"10."&amp;(Info!$B$5+INT((L17)/65536))&amp;"."&amp;INT(MOD((L17),65536)/256)&amp;"."&amp;MOD((L17),256)</f>
        <v>10.17.0.0</v>
      </c>
      <c r="E17" s="9" t="str">
        <f>"/"&amp;INDEX(Kebutuhan!$H$5:$H$24,MATCH($B17,Kebutuhan!$C$5:$C$24,0))</f>
        <v>/21</v>
      </c>
      <c r="F17" s="9" t="str">
        <f>INDEX(Kebutuhan!$I$5:$I$24,MATCH($B17,Kebutuhan!$C$5:$C$24,0))</f>
        <v>255.255.248.0</v>
      </c>
      <c r="G17" s="9" t="str">
        <f>"10."&amp;(Info!$B$5+INT((L17+1)/65536))&amp;"."&amp;INT(MOD((L17+1),65536)/256)&amp;"."&amp;MOD((L17+1),256)&amp;" – "&amp;"10."&amp;(Info!$B$5+INT((L17+K17-2)/65536))&amp;"."&amp;INT(MOD((L17+K17-2),65536)/256)&amp;"."&amp;MOD((L17+K17-2),256)</f>
        <v>10.17.0.1 – 10.17.7.254</v>
      </c>
      <c r="H17" s="9" t="str">
        <f>"10."&amp;(Info!$B$5+INT((L17+K17-1)/65536))&amp;"."&amp;INT(MOD((L17+K17-1),65536)/256)&amp;"."&amp;MOD((L17+K17-1),256)</f>
        <v>10.17.7.255</v>
      </c>
      <c r="I17" s="9" t="str">
        <f>IF(INDEX(Kebutuhan!$D$5:$D$24,MATCH($B17,Kebutuhan!$C$5:$C$24,0))="Link","—","10."&amp;(Info!$B$5+INT((L17+1)/65536))&amp;"."&amp;INT(MOD((L17+1),65536)/256)&amp;"."&amp;MOD((L17+1),256))</f>
        <v>10.17.0.1</v>
      </c>
      <c r="J17" s="15">
        <f>INDEX(Kebutuhan!$E$5:$E$24,MATCH($B17,Kebutuhan!$C$5:$C$24,0))</f>
        <v>1800</v>
      </c>
      <c r="K17" s="15">
        <f>INDEX(Kebutuhan!$G$5:$G$24,MATCH($B17,Kebutuhan!$C$5:$C$24,0))</f>
        <v>2048</v>
      </c>
      <c r="L17" s="23">
        <v>65536</v>
      </c>
      <c r="M17" s="16" t="str">
        <f t="shared" si="0"/>
        <v>OK</v>
      </c>
      <c r="N17" s="16" t="str">
        <f t="shared" si="1"/>
        <v>OK</v>
      </c>
    </row>
    <row r="18" spans="1:14" x14ac:dyDescent="0.35">
      <c r="A18" s="17">
        <v>14</v>
      </c>
      <c r="B18" s="18" t="s">
        <v>45</v>
      </c>
      <c r="C18" s="18" t="s">
        <v>103</v>
      </c>
      <c r="D18" s="17" t="str">
        <f>"10."&amp;(Info!$B$5+INT((L18)/65536))&amp;"."&amp;INT(MOD((L18),65536)/256)&amp;"."&amp;MOD((L18),256)</f>
        <v>10.17.8.0</v>
      </c>
      <c r="E18" s="17" t="str">
        <f>"/"&amp;INDEX(Kebutuhan!$H$5:$H$24,MATCH($B18,Kebutuhan!$C$5:$C$24,0))</f>
        <v>/27</v>
      </c>
      <c r="F18" s="17" t="str">
        <f>INDEX(Kebutuhan!$I$5:$I$24,MATCH($B18,Kebutuhan!$C$5:$C$24,0))</f>
        <v>255.255.255.224</v>
      </c>
      <c r="G18" s="17" t="str">
        <f>"10."&amp;(Info!$B$5+INT((L18+1)/65536))&amp;"."&amp;INT(MOD((L18+1),65536)/256)&amp;"."&amp;MOD((L18+1),256)&amp;" – "&amp;"10."&amp;(Info!$B$5+INT((L18+K18-2)/65536))&amp;"."&amp;INT(MOD((L18+K18-2),65536)/256)&amp;"."&amp;MOD((L18+K18-2),256)</f>
        <v>10.17.8.1 – 10.17.8.30</v>
      </c>
      <c r="H18" s="17" t="str">
        <f>"10."&amp;(Info!$B$5+INT((L18+K18-1)/65536))&amp;"."&amp;INT(MOD((L18+K18-1),65536)/256)&amp;"."&amp;MOD((L18+K18-1),256)</f>
        <v>10.17.8.31</v>
      </c>
      <c r="I18" s="17" t="str">
        <f>IF(INDEX(Kebutuhan!$D$5:$D$24,MATCH($B18,Kebutuhan!$C$5:$C$24,0))="Link","—","10."&amp;(Info!$B$5+INT((L18+1)/65536))&amp;"."&amp;INT(MOD((L18+1),65536)/256)&amp;"."&amp;MOD((L18+1),256))</f>
        <v>10.17.8.1</v>
      </c>
      <c r="J18" s="15">
        <f>INDEX(Kebutuhan!$E$5:$E$24,MATCH($B18,Kebutuhan!$C$5:$C$24,0))</f>
        <v>20</v>
      </c>
      <c r="K18" s="15">
        <f>INDEX(Kebutuhan!$G$5:$G$24,MATCH($B18,Kebutuhan!$C$5:$C$24,0))</f>
        <v>32</v>
      </c>
      <c r="L18" s="23">
        <v>67584</v>
      </c>
      <c r="M18" s="16" t="str">
        <f t="shared" si="0"/>
        <v>OK</v>
      </c>
      <c r="N18" s="16" t="str">
        <f t="shared" si="1"/>
        <v>OK</v>
      </c>
    </row>
    <row r="19" spans="1:14" x14ac:dyDescent="0.35">
      <c r="A19" s="9">
        <v>15</v>
      </c>
      <c r="B19" s="6" t="s">
        <v>50</v>
      </c>
      <c r="C19" s="6" t="s">
        <v>104</v>
      </c>
      <c r="D19" s="9" t="str">
        <f>"10."&amp;(Info!$B$5+INT((L19)/65536))&amp;"."&amp;INT(MOD((L19),65536)/256)&amp;"."&amp;MOD((L19),256)</f>
        <v>10.18.0.0</v>
      </c>
      <c r="E19" s="9" t="str">
        <f>"/"&amp;INDEX(Kebutuhan!$H$5:$H$24,MATCH($B19,Kebutuhan!$C$5:$C$24,0))</f>
        <v>/18</v>
      </c>
      <c r="F19" s="9" t="str">
        <f>INDEX(Kebutuhan!$I$5:$I$24,MATCH($B19,Kebutuhan!$C$5:$C$24,0))</f>
        <v>255.255.192.0</v>
      </c>
      <c r="G19" s="9" t="str">
        <f>"10."&amp;(Info!$B$5+INT((L19+1)/65536))&amp;"."&amp;INT(MOD((L19+1),65536)/256)&amp;"."&amp;MOD((L19+1),256)&amp;" – "&amp;"10."&amp;(Info!$B$5+INT((L19+K19-2)/65536))&amp;"."&amp;INT(MOD((L19+K19-2),65536)/256)&amp;"."&amp;MOD((L19+K19-2),256)</f>
        <v>10.18.0.1 – 10.18.63.254</v>
      </c>
      <c r="H19" s="9" t="str">
        <f>"10."&amp;(Info!$B$5+INT((L19+K19-1)/65536))&amp;"."&amp;INT(MOD((L19+K19-1),65536)/256)&amp;"."&amp;MOD((L19+K19-1),256)</f>
        <v>10.18.63.255</v>
      </c>
      <c r="I19" s="9" t="str">
        <f>IF(INDEX(Kebutuhan!$D$5:$D$24,MATCH($B19,Kebutuhan!$C$5:$C$24,0))="Link","—","10."&amp;(Info!$B$5+INT((L19+1)/65536))&amp;"."&amp;INT(MOD((L19+1),65536)/256)&amp;"."&amp;MOD((L19+1),256))</f>
        <v>10.18.0.1</v>
      </c>
      <c r="J19" s="15">
        <f>INDEX(Kebutuhan!$E$5:$E$24,MATCH($B19,Kebutuhan!$C$5:$C$24,0))</f>
        <v>11000</v>
      </c>
      <c r="K19" s="15">
        <f>INDEX(Kebutuhan!$G$5:$G$24,MATCH($B19,Kebutuhan!$C$5:$C$24,0))</f>
        <v>16384</v>
      </c>
      <c r="L19" s="23">
        <v>131072</v>
      </c>
      <c r="M19" s="16" t="str">
        <f t="shared" si="0"/>
        <v>OK</v>
      </c>
      <c r="N19" s="16" t="str">
        <f t="shared" si="1"/>
        <v>OK</v>
      </c>
    </row>
    <row r="20" spans="1:14" x14ac:dyDescent="0.35">
      <c r="A20" s="17">
        <v>16</v>
      </c>
      <c r="B20" s="18" t="s">
        <v>53</v>
      </c>
      <c r="C20" s="18" t="s">
        <v>105</v>
      </c>
      <c r="D20" s="17" t="str">
        <f>"10."&amp;(Info!$B$5+INT((L20)/65536))&amp;"."&amp;INT(MOD((L20),65536)/256)&amp;"."&amp;MOD((L20),256)</f>
        <v>10.18.64.0</v>
      </c>
      <c r="E20" s="17" t="str">
        <f>"/"&amp;INDEX(Kebutuhan!$H$5:$H$24,MATCH($B20,Kebutuhan!$C$5:$C$24,0))</f>
        <v>/19</v>
      </c>
      <c r="F20" s="17" t="str">
        <f>INDEX(Kebutuhan!$I$5:$I$24,MATCH($B20,Kebutuhan!$C$5:$C$24,0))</f>
        <v>255.255.224.0</v>
      </c>
      <c r="G20" s="17" t="str">
        <f>"10."&amp;(Info!$B$5+INT((L20+1)/65536))&amp;"."&amp;INT(MOD((L20+1),65536)/256)&amp;"."&amp;MOD((L20+1),256)&amp;" – "&amp;"10."&amp;(Info!$B$5+INT((L20+K20-2)/65536))&amp;"."&amp;INT(MOD((L20+K20-2),65536)/256)&amp;"."&amp;MOD((L20+K20-2),256)</f>
        <v>10.18.64.1 – 10.18.95.254</v>
      </c>
      <c r="H20" s="17" t="str">
        <f>"10."&amp;(Info!$B$5+INT((L20+K20-1)/65536))&amp;"."&amp;INT(MOD((L20+K20-1),65536)/256)&amp;"."&amp;MOD((L20+K20-1),256)</f>
        <v>10.18.95.255</v>
      </c>
      <c r="I20" s="17" t="str">
        <f>IF(INDEX(Kebutuhan!$D$5:$D$24,MATCH($B20,Kebutuhan!$C$5:$C$24,0))="Link","—","10."&amp;(Info!$B$5+INT((L20+1)/65536))&amp;"."&amp;INT(MOD((L20+1),65536)/256)&amp;"."&amp;MOD((L20+1),256))</f>
        <v>10.18.64.1</v>
      </c>
      <c r="J20" s="15">
        <f>INDEX(Kebutuhan!$E$5:$E$24,MATCH($B20,Kebutuhan!$C$5:$C$24,0))</f>
        <v>5000</v>
      </c>
      <c r="K20" s="15">
        <f>INDEX(Kebutuhan!$G$5:$G$24,MATCH($B20,Kebutuhan!$C$5:$C$24,0))</f>
        <v>8192</v>
      </c>
      <c r="L20" s="23">
        <v>147456</v>
      </c>
      <c r="M20" s="16" t="str">
        <f t="shared" si="0"/>
        <v>OK</v>
      </c>
      <c r="N20" s="16" t="str">
        <f t="shared" si="1"/>
        <v>OK</v>
      </c>
    </row>
    <row r="21" spans="1:14" x14ac:dyDescent="0.35">
      <c r="A21" s="9">
        <v>17</v>
      </c>
      <c r="B21" s="6" t="s">
        <v>54</v>
      </c>
      <c r="C21" s="6" t="s">
        <v>105</v>
      </c>
      <c r="D21" s="9" t="str">
        <f>"10."&amp;(Info!$B$5+INT((L21)/65536))&amp;"."&amp;INT(MOD((L21),65536)/256)&amp;"."&amp;MOD((L21),256)</f>
        <v>10.18.96.0</v>
      </c>
      <c r="E21" s="9" t="str">
        <f>"/"&amp;INDEX(Kebutuhan!$H$5:$H$24,MATCH($B21,Kebutuhan!$C$5:$C$24,0))</f>
        <v>/25</v>
      </c>
      <c r="F21" s="9" t="str">
        <f>INDEX(Kebutuhan!$I$5:$I$24,MATCH($B21,Kebutuhan!$C$5:$C$24,0))</f>
        <v>255.255.255.128</v>
      </c>
      <c r="G21" s="9" t="str">
        <f>"10."&amp;(Info!$B$5+INT((L21+1)/65536))&amp;"."&amp;INT(MOD((L21+1),65536)/256)&amp;"."&amp;MOD((L21+1),256)&amp;" – "&amp;"10."&amp;(Info!$B$5+INT((L21+K21-2)/65536))&amp;"."&amp;INT(MOD((L21+K21-2),65536)/256)&amp;"."&amp;MOD((L21+K21-2),256)</f>
        <v>10.18.96.1 – 10.18.96.126</v>
      </c>
      <c r="H21" s="9" t="str">
        <f>"10."&amp;(Info!$B$5+INT((L21+K21-1)/65536))&amp;"."&amp;INT(MOD((L21+K21-1),65536)/256)&amp;"."&amp;MOD((L21+K21-1),256)</f>
        <v>10.18.96.127</v>
      </c>
      <c r="I21" s="9" t="str">
        <f>IF(INDEX(Kebutuhan!$D$5:$D$24,MATCH($B21,Kebutuhan!$C$5:$C$24,0))="Link","—","10."&amp;(Info!$B$5+INT((L21+1)/65536))&amp;"."&amp;INT(MOD((L21+1),65536)/256)&amp;"."&amp;MOD((L21+1),256))</f>
        <v>10.18.96.1</v>
      </c>
      <c r="J21" s="15">
        <f>INDEX(Kebutuhan!$E$5:$E$24,MATCH($B21,Kebutuhan!$C$5:$C$24,0))</f>
        <v>120</v>
      </c>
      <c r="K21" s="15">
        <f>INDEX(Kebutuhan!$G$5:$G$24,MATCH($B21,Kebutuhan!$C$5:$C$24,0))</f>
        <v>128</v>
      </c>
      <c r="L21" s="23">
        <v>155648</v>
      </c>
      <c r="M21" s="16" t="str">
        <f t="shared" si="0"/>
        <v>OK</v>
      </c>
      <c r="N21" s="16" t="str">
        <f t="shared" si="1"/>
        <v>OK</v>
      </c>
    </row>
    <row r="22" spans="1:14" x14ac:dyDescent="0.35">
      <c r="A22" s="17">
        <v>18</v>
      </c>
      <c r="B22" s="18" t="s">
        <v>76</v>
      </c>
      <c r="C22" s="18" t="s">
        <v>105</v>
      </c>
      <c r="D22" s="17" t="str">
        <f>"10."&amp;(Info!$B$5+INT((L22)/65536))&amp;"."&amp;INT(MOD((L22),65536)/256)&amp;"."&amp;MOD((L22),256)</f>
        <v>10.18.96.128</v>
      </c>
      <c r="E22" s="17" t="str">
        <f>"/"&amp;INDEX(Kebutuhan!$H$5:$H$24,MATCH($B22,Kebutuhan!$C$5:$C$24,0))</f>
        <v>/30</v>
      </c>
      <c r="F22" s="17" t="str">
        <f>INDEX(Kebutuhan!$I$5:$I$24,MATCH($B22,Kebutuhan!$C$5:$C$24,0))</f>
        <v>255.255.255.252</v>
      </c>
      <c r="G22" s="17" t="str">
        <f>"10."&amp;(Info!$B$5+INT((L22+1)/65536))&amp;"."&amp;INT(MOD((L22+1),65536)/256)&amp;"."&amp;MOD((L22+1),256)&amp;" – "&amp;"10."&amp;(Info!$B$5+INT((L22+K22-2)/65536))&amp;"."&amp;INT(MOD((L22+K22-2),65536)/256)&amp;"."&amp;MOD((L22+K22-2),256)</f>
        <v>10.18.96.129 – 10.18.96.130</v>
      </c>
      <c r="H22" s="17" t="str">
        <f>"10."&amp;(Info!$B$5+INT((L22+K22-1)/65536))&amp;"."&amp;INT(MOD((L22+K22-1),65536)/256)&amp;"."&amp;MOD((L22+K22-1),256)</f>
        <v>10.18.96.131</v>
      </c>
      <c r="I22" s="17" t="str">
        <f>IF(INDEX(Kebutuhan!$D$5:$D$24,MATCH($B22,Kebutuhan!$C$5:$C$24,0))="Link","—","10."&amp;(Info!$B$5+INT((L22+1)/65536))&amp;"."&amp;INT(MOD((L22+1),65536)/256)&amp;"."&amp;MOD((L22+1),256))</f>
        <v>—</v>
      </c>
      <c r="J22" s="15">
        <f>INDEX(Kebutuhan!$E$5:$E$24,MATCH($B22,Kebutuhan!$C$5:$C$24,0))</f>
        <v>2</v>
      </c>
      <c r="K22" s="15">
        <f>INDEX(Kebutuhan!$G$5:$G$24,MATCH($B22,Kebutuhan!$C$5:$C$24,0))</f>
        <v>4</v>
      </c>
      <c r="L22" s="23">
        <v>155776</v>
      </c>
      <c r="M22" s="16" t="str">
        <f t="shared" si="0"/>
        <v>OK</v>
      </c>
      <c r="N22" s="16" t="str">
        <f t="shared" si="1"/>
        <v>OK</v>
      </c>
    </row>
    <row r="23" spans="1:14" x14ac:dyDescent="0.35">
      <c r="A23" s="9">
        <v>19</v>
      </c>
      <c r="B23" s="6" t="s">
        <v>51</v>
      </c>
      <c r="C23" s="6" t="s">
        <v>104</v>
      </c>
      <c r="D23" s="9" t="str">
        <f>"10."&amp;(Info!$B$5+INT((L23)/65536))&amp;"."&amp;INT(MOD((L23),65536)/256)&amp;"."&amp;MOD((L23),256)</f>
        <v>10.18.128.0</v>
      </c>
      <c r="E23" s="9" t="str">
        <f>"/"&amp;INDEX(Kebutuhan!$H$5:$H$24,MATCH($B23,Kebutuhan!$C$5:$C$24,0))</f>
        <v>/23</v>
      </c>
      <c r="F23" s="9" t="str">
        <f>INDEX(Kebutuhan!$I$5:$I$24,MATCH($B23,Kebutuhan!$C$5:$C$24,0))</f>
        <v>255.255.254.0</v>
      </c>
      <c r="G23" s="9" t="str">
        <f>"10."&amp;(Info!$B$5+INT((L23+1)/65536))&amp;"."&amp;INT(MOD((L23+1),65536)/256)&amp;"."&amp;MOD((L23+1),256)&amp;" – "&amp;"10."&amp;(Info!$B$5+INT((L23+K23-2)/65536))&amp;"."&amp;INT(MOD((L23+K23-2),65536)/256)&amp;"."&amp;MOD((L23+K23-2),256)</f>
        <v>10.18.128.1 – 10.18.129.254</v>
      </c>
      <c r="H23" s="9" t="str">
        <f>"10."&amp;(Info!$B$5+INT((L23+K23-1)/65536))&amp;"."&amp;INT(MOD((L23+K23-1),65536)/256)&amp;"."&amp;MOD((L23+K23-1),256)</f>
        <v>10.18.129.255</v>
      </c>
      <c r="I23" s="9" t="str">
        <f>IF(INDEX(Kebutuhan!$D$5:$D$24,MATCH($B23,Kebutuhan!$C$5:$C$24,0))="Link","—","10."&amp;(Info!$B$5+INT((L23+1)/65536))&amp;"."&amp;INT(MOD((L23+1),65536)/256)&amp;"."&amp;MOD((L23+1),256))</f>
        <v>10.18.128.1</v>
      </c>
      <c r="J23" s="15">
        <f>INDEX(Kebutuhan!$E$5:$E$24,MATCH($B23,Kebutuhan!$C$5:$C$24,0))</f>
        <v>450</v>
      </c>
      <c r="K23" s="15">
        <f>INDEX(Kebutuhan!$G$5:$G$24,MATCH($B23,Kebutuhan!$C$5:$C$24,0))</f>
        <v>512</v>
      </c>
      <c r="L23" s="23">
        <v>163840</v>
      </c>
      <c r="M23" s="16" t="str">
        <f t="shared" si="0"/>
        <v>OK</v>
      </c>
      <c r="N23" s="16" t="str">
        <f t="shared" si="1"/>
        <v>OK</v>
      </c>
    </row>
    <row r="24" spans="1:14" x14ac:dyDescent="0.35">
      <c r="A24" s="17">
        <v>20</v>
      </c>
      <c r="B24" s="18" t="s">
        <v>68</v>
      </c>
      <c r="C24" s="18" t="s">
        <v>104</v>
      </c>
      <c r="D24" s="17" t="str">
        <f>"10."&amp;(Info!$B$5+INT((L24)/65536))&amp;"."&amp;INT(MOD((L24),65536)/256)&amp;"."&amp;MOD((L24),256)</f>
        <v>10.18.130.0</v>
      </c>
      <c r="E24" s="17" t="str">
        <f>"/"&amp;INDEX(Kebutuhan!$H$5:$H$24,MATCH($B24,Kebutuhan!$C$5:$C$24,0))</f>
        <v>/30</v>
      </c>
      <c r="F24" s="17" t="str">
        <f>INDEX(Kebutuhan!$I$5:$I$24,MATCH($B24,Kebutuhan!$C$5:$C$24,0))</f>
        <v>255.255.255.252</v>
      </c>
      <c r="G24" s="17" t="str">
        <f>"10."&amp;(Info!$B$5+INT((L24+1)/65536))&amp;"."&amp;INT(MOD((L24+1),65536)/256)&amp;"."&amp;MOD((L24+1),256)&amp;" – "&amp;"10."&amp;(Info!$B$5+INT((L24+K24-2)/65536))&amp;"."&amp;INT(MOD((L24+K24-2),65536)/256)&amp;"."&amp;MOD((L24+K24-2),256)</f>
        <v>10.18.130.1 – 10.18.130.2</v>
      </c>
      <c r="H24" s="17" t="str">
        <f>"10."&amp;(Info!$B$5+INT((L24+K24-1)/65536))&amp;"."&amp;INT(MOD((L24+K24-1),65536)/256)&amp;"."&amp;MOD((L24+K24-1),256)</f>
        <v>10.18.130.3</v>
      </c>
      <c r="I24" s="17" t="str">
        <f>IF(INDEX(Kebutuhan!$D$5:$D$24,MATCH($B24,Kebutuhan!$C$5:$C$24,0))="Link","—","10."&amp;(Info!$B$5+INT((L24+1)/65536))&amp;"."&amp;INT(MOD((L24+1),65536)/256)&amp;"."&amp;MOD((L24+1),256))</f>
        <v>—</v>
      </c>
      <c r="J24" s="15">
        <f>INDEX(Kebutuhan!$E$5:$E$24,MATCH($B24,Kebutuhan!$C$5:$C$24,0))</f>
        <v>2</v>
      </c>
      <c r="K24" s="15">
        <f>INDEX(Kebutuhan!$G$5:$G$24,MATCH($B24,Kebutuhan!$C$5:$C$24,0))</f>
        <v>4</v>
      </c>
      <c r="L24" s="23">
        <v>164352</v>
      </c>
      <c r="M24" s="16" t="str">
        <f t="shared" si="0"/>
        <v>OK</v>
      </c>
      <c r="N24" s="16" t="str">
        <f t="shared" si="1"/>
        <v>OK</v>
      </c>
    </row>
    <row r="26" spans="1:14" x14ac:dyDescent="0.35">
      <c r="B26" s="19" t="s">
        <v>91</v>
      </c>
      <c r="C26" s="19" t="s">
        <v>3</v>
      </c>
    </row>
    <row r="27" spans="1:14" x14ac:dyDescent="0.35">
      <c r="B27" s="12" t="s">
        <v>92</v>
      </c>
      <c r="C27" s="20">
        <f>SUM(K5:K24)</f>
        <v>61752</v>
      </c>
    </row>
    <row r="28" spans="1:14" x14ac:dyDescent="0.35">
      <c r="B28" s="12" t="s">
        <v>93</v>
      </c>
      <c r="C28" s="20">
        <f>SUM(J5:J24)</f>
        <v>42092</v>
      </c>
    </row>
    <row r="29" spans="1:14" x14ac:dyDescent="0.35">
      <c r="B29" s="12" t="s">
        <v>106</v>
      </c>
      <c r="C29" s="21">
        <f>Supernet!$D$5</f>
        <v>14</v>
      </c>
    </row>
    <row r="30" spans="1:14" x14ac:dyDescent="0.35">
      <c r="B30" s="12" t="s">
        <v>95</v>
      </c>
      <c r="C30" s="20">
        <f>2^(32-C29)</f>
        <v>262144</v>
      </c>
    </row>
    <row r="31" spans="1:14" x14ac:dyDescent="0.35">
      <c r="B31" s="12" t="s">
        <v>96</v>
      </c>
      <c r="C31" s="22" t="str">
        <f>"10."&amp;Info!$B$5&amp;".0.0/"&amp;C29</f>
        <v>10.16.0.0/14</v>
      </c>
    </row>
  </sheetData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40"/>
  <sheetViews>
    <sheetView showGridLines="0" topLeftCell="G1" zoomScaleNormal="100" workbookViewId="0">
      <pane ySplit="4" topLeftCell="A6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2" width="34" customWidth="1"/>
    <col min="3" max="3" width="46" customWidth="1"/>
    <col min="4" max="4" width="18" customWidth="1"/>
    <col min="5" max="5" width="11" customWidth="1"/>
    <col min="6" max="6" width="22" customWidth="1"/>
    <col min="7" max="7" width="34" customWidth="1"/>
    <col min="8" max="8" width="14" customWidth="1"/>
    <col min="9" max="9" width="13" customWidth="1"/>
  </cols>
  <sheetData>
    <row r="1" spans="1:9" ht="16.5" x14ac:dyDescent="0.35">
      <c r="A1" s="3" t="s">
        <v>107</v>
      </c>
    </row>
    <row r="2" spans="1:9" x14ac:dyDescent="0.35">
      <c r="A2" s="4" t="s">
        <v>108</v>
      </c>
    </row>
    <row r="4" spans="1:9" x14ac:dyDescent="0.35">
      <c r="A4" s="5" t="s">
        <v>109</v>
      </c>
      <c r="B4" s="5" t="s">
        <v>110</v>
      </c>
      <c r="C4" s="5" t="s">
        <v>14</v>
      </c>
      <c r="D4" s="5" t="s">
        <v>40</v>
      </c>
      <c r="E4" s="5" t="s">
        <v>87</v>
      </c>
      <c r="F4" s="5" t="s">
        <v>111</v>
      </c>
      <c r="G4" s="5" t="s">
        <v>112</v>
      </c>
      <c r="H4" s="5" t="s">
        <v>113</v>
      </c>
      <c r="I4" s="5" t="s">
        <v>88</v>
      </c>
    </row>
    <row r="5" spans="1:9" x14ac:dyDescent="0.35">
      <c r="A5" s="9">
        <v>0</v>
      </c>
      <c r="B5" s="6" t="s">
        <v>114</v>
      </c>
      <c r="C5" s="6" t="s">
        <v>115</v>
      </c>
      <c r="D5" s="24">
        <v>14</v>
      </c>
      <c r="E5" s="10">
        <v>0</v>
      </c>
      <c r="F5" s="9" t="str">
        <f>"10."&amp;(Info!$B$5+INT((E5)/65536))&amp;"."&amp;INT(MOD((E5),65536)/256)&amp;"."&amp;MOD((E5),256)&amp;"/"&amp;D5</f>
        <v>10.16.0.0/14</v>
      </c>
      <c r="G5" s="9" t="str">
        <f>"10."&amp;(Info!$B$5+INT((E5)/65536))&amp;"."&amp;INT(MOD((E5),65536)/256)&amp;"."&amp;MOD((E5),256)&amp;" – "&amp;"10."&amp;(Info!$B$5+INT((E5+H5-1)/65536))&amp;"."&amp;INT(MOD((E5+H5-1),65536)/256)&amp;"."&amp;MOD((E5+H5-1),256)</f>
        <v>10.16.0.0 – 10.19.255.255</v>
      </c>
      <c r="H5" s="11">
        <f t="shared" ref="H5:H23" si="0">2^(32-D5)</f>
        <v>262144</v>
      </c>
      <c r="I5" s="9" t="str">
        <f t="shared" ref="I5:I23" si="1">IF(MOD(E5,H5)=0,"OK","TIDAK ALIGNED")</f>
        <v>OK</v>
      </c>
    </row>
    <row r="6" spans="1:9" x14ac:dyDescent="0.35">
      <c r="A6" s="9">
        <v>1</v>
      </c>
      <c r="B6" s="6" t="s">
        <v>116</v>
      </c>
      <c r="C6" s="6" t="s">
        <v>117</v>
      </c>
      <c r="D6" s="24">
        <v>15</v>
      </c>
      <c r="E6" s="10">
        <v>0</v>
      </c>
      <c r="F6" s="9" t="str">
        <f>"10."&amp;(Info!$B$5+INT((E6)/65536))&amp;"."&amp;INT(MOD((E6),65536)/256)&amp;"."&amp;MOD((E6),256)&amp;"/"&amp;D6</f>
        <v>10.16.0.0/15</v>
      </c>
      <c r="G6" s="9" t="str">
        <f>"10."&amp;(Info!$B$5+INT((E6)/65536))&amp;"."&amp;INT(MOD((E6),65536)/256)&amp;"."&amp;MOD((E6),256)&amp;" – "&amp;"10."&amp;(Info!$B$5+INT((E6+H6-1)/65536))&amp;"."&amp;INT(MOD((E6+H6-1),65536)/256)&amp;"."&amp;MOD((E6+H6-1),256)</f>
        <v>10.16.0.0 – 10.17.255.255</v>
      </c>
      <c r="H6" s="11">
        <f t="shared" si="0"/>
        <v>131072</v>
      </c>
      <c r="I6" s="9" t="str">
        <f t="shared" si="1"/>
        <v>OK</v>
      </c>
    </row>
    <row r="7" spans="1:9" x14ac:dyDescent="0.35">
      <c r="A7" s="9">
        <v>2</v>
      </c>
      <c r="B7" s="6" t="s">
        <v>118</v>
      </c>
      <c r="C7" s="6" t="s">
        <v>119</v>
      </c>
      <c r="D7" s="24">
        <v>16</v>
      </c>
      <c r="E7" s="10">
        <v>0</v>
      </c>
      <c r="F7" s="9" t="str">
        <f>"10."&amp;(Info!$B$5+INT((E7)/65536))&amp;"."&amp;INT(MOD((E7),65536)/256)&amp;"."&amp;MOD((E7),256)&amp;"/"&amp;D7</f>
        <v>10.16.0.0/16</v>
      </c>
      <c r="G7" s="9" t="str">
        <f>"10."&amp;(Info!$B$5+INT((E7)/65536))&amp;"."&amp;INT(MOD((E7),65536)/256)&amp;"."&amp;MOD((E7),256)&amp;" – "&amp;"10."&amp;(Info!$B$5+INT((E7+H7-1)/65536))&amp;"."&amp;INT(MOD((E7+H7-1),65536)/256)&amp;"."&amp;MOD((E7+H7-1),256)</f>
        <v>10.16.0.0 – 10.16.255.255</v>
      </c>
      <c r="H7" s="11">
        <f t="shared" si="0"/>
        <v>65536</v>
      </c>
      <c r="I7" s="9" t="str">
        <f t="shared" si="1"/>
        <v>OK</v>
      </c>
    </row>
    <row r="8" spans="1:9" x14ac:dyDescent="0.35">
      <c r="A8" s="9">
        <v>3</v>
      </c>
      <c r="B8" s="6" t="s">
        <v>120</v>
      </c>
      <c r="C8" s="6" t="s">
        <v>121</v>
      </c>
      <c r="D8" s="24">
        <v>17</v>
      </c>
      <c r="E8" s="10">
        <v>0</v>
      </c>
      <c r="F8" s="9" t="str">
        <f>"10."&amp;(Info!$B$5+INT((E8)/65536))&amp;"."&amp;INT(MOD((E8),65536)/256)&amp;"."&amp;MOD((E8),256)&amp;"/"&amp;D8</f>
        <v>10.16.0.0/17</v>
      </c>
      <c r="G8" s="9" t="str">
        <f>"10."&amp;(Info!$B$5+INT((E8)/65536))&amp;"."&amp;INT(MOD((E8),65536)/256)&amp;"."&amp;MOD((E8),256)&amp;" – "&amp;"10."&amp;(Info!$B$5+INT((E8+H8-1)/65536))&amp;"."&amp;INT(MOD((E8+H8-1),65536)/256)&amp;"."&amp;MOD((E8+H8-1),256)</f>
        <v>10.16.0.0 – 10.16.127.255</v>
      </c>
      <c r="H8" s="11">
        <f t="shared" si="0"/>
        <v>32768</v>
      </c>
      <c r="I8" s="9" t="str">
        <f t="shared" si="1"/>
        <v>OK</v>
      </c>
    </row>
    <row r="9" spans="1:9" x14ac:dyDescent="0.35">
      <c r="A9" s="9">
        <v>4</v>
      </c>
      <c r="B9" s="25" t="s">
        <v>122</v>
      </c>
      <c r="C9" s="6" t="s">
        <v>123</v>
      </c>
      <c r="D9" s="24">
        <v>18</v>
      </c>
      <c r="E9" s="10">
        <v>0</v>
      </c>
      <c r="F9" s="9" t="str">
        <f>"10."&amp;(Info!$B$5+INT((E9)/65536))&amp;"."&amp;INT(MOD((E9),65536)/256)&amp;"."&amp;MOD((E9),256)&amp;"/"&amp;D9</f>
        <v>10.16.0.0/18</v>
      </c>
      <c r="G9" s="9" t="str">
        <f>"10."&amp;(Info!$B$5+INT((E9)/65536))&amp;"."&amp;INT(MOD((E9),65536)/256)&amp;"."&amp;MOD((E9),256)&amp;" – "&amp;"10."&amp;(Info!$B$5+INT((E9+H9-1)/65536))&amp;"."&amp;INT(MOD((E9+H9-1),65536)/256)&amp;"."&amp;MOD((E9+H9-1),256)</f>
        <v>10.16.0.0 – 10.16.63.255</v>
      </c>
      <c r="H9" s="11">
        <f t="shared" si="0"/>
        <v>16384</v>
      </c>
      <c r="I9" s="9" t="str">
        <f t="shared" si="1"/>
        <v>OK</v>
      </c>
    </row>
    <row r="10" spans="1:9" x14ac:dyDescent="0.35">
      <c r="A10" s="9">
        <v>5</v>
      </c>
      <c r="B10" s="6" t="s">
        <v>124</v>
      </c>
      <c r="C10" s="6" t="s">
        <v>125</v>
      </c>
      <c r="D10" s="24">
        <v>23</v>
      </c>
      <c r="E10" s="10">
        <v>8192</v>
      </c>
      <c r="F10" s="9" t="str">
        <f>"10."&amp;(Info!$B$5+INT((E10)/65536))&amp;"."&amp;INT(MOD((E10),65536)/256)&amp;"."&amp;MOD((E10),256)&amp;"/"&amp;D10</f>
        <v>10.16.32.0/23</v>
      </c>
      <c r="G10" s="9" t="str">
        <f>"10."&amp;(Info!$B$5+INT((E10)/65536))&amp;"."&amp;INT(MOD((E10),65536)/256)&amp;"."&amp;MOD((E10),256)&amp;" – "&amp;"10."&amp;(Info!$B$5+INT((E10+H10-1)/65536))&amp;"."&amp;INT(MOD((E10+H10-1),65536)/256)&amp;"."&amp;MOD((E10+H10-1),256)</f>
        <v>10.16.32.0 – 10.16.33.255</v>
      </c>
      <c r="H10" s="11">
        <f t="shared" si="0"/>
        <v>512</v>
      </c>
      <c r="I10" s="9" t="str">
        <f t="shared" si="1"/>
        <v>OK</v>
      </c>
    </row>
    <row r="11" spans="1:9" x14ac:dyDescent="0.35">
      <c r="A11" s="9">
        <v>4</v>
      </c>
      <c r="B11" s="25" t="s">
        <v>126</v>
      </c>
      <c r="C11" s="6" t="s">
        <v>127</v>
      </c>
      <c r="D11" s="24">
        <v>18</v>
      </c>
      <c r="E11" s="10">
        <v>16384</v>
      </c>
      <c r="F11" s="9" t="str">
        <f>"10."&amp;(Info!$B$5+INT((E11)/65536))&amp;"."&amp;INT(MOD((E11),65536)/256)&amp;"."&amp;MOD((E11),256)&amp;"/"&amp;D11</f>
        <v>10.16.64.0/18</v>
      </c>
      <c r="G11" s="9" t="str">
        <f>"10."&amp;(Info!$B$5+INT((E11)/65536))&amp;"."&amp;INT(MOD((E11),65536)/256)&amp;"."&amp;MOD((E11),256)&amp;" – "&amp;"10."&amp;(Info!$B$5+INT((E11+H11-1)/65536))&amp;"."&amp;INT(MOD((E11+H11-1),65536)/256)&amp;"."&amp;MOD((E11+H11-1),256)</f>
        <v>10.16.64.0 – 10.16.127.255</v>
      </c>
      <c r="H11" s="11">
        <f t="shared" si="0"/>
        <v>16384</v>
      </c>
      <c r="I11" s="9" t="str">
        <f t="shared" si="1"/>
        <v>OK</v>
      </c>
    </row>
    <row r="12" spans="1:9" x14ac:dyDescent="0.35">
      <c r="A12" s="9">
        <v>5</v>
      </c>
      <c r="B12" s="6" t="s">
        <v>128</v>
      </c>
      <c r="C12" s="6" t="s">
        <v>129</v>
      </c>
      <c r="D12" s="24">
        <v>23</v>
      </c>
      <c r="E12" s="10">
        <v>24576</v>
      </c>
      <c r="F12" s="9" t="str">
        <f>"10."&amp;(Info!$B$5+INT((E12)/65536))&amp;"."&amp;INT(MOD((E12),65536)/256)&amp;"."&amp;MOD((E12),256)&amp;"/"&amp;D12</f>
        <v>10.16.96.0/23</v>
      </c>
      <c r="G12" s="9" t="str">
        <f>"10."&amp;(Info!$B$5+INT((E12)/65536))&amp;"."&amp;INT(MOD((E12),65536)/256)&amp;"."&amp;MOD((E12),256)&amp;" – "&amp;"10."&amp;(Info!$B$5+INT((E12+H12-1)/65536))&amp;"."&amp;INT(MOD((E12+H12-1),65536)/256)&amp;"."&amp;MOD((E12+H12-1),256)</f>
        <v>10.16.96.0 – 10.16.97.255</v>
      </c>
      <c r="H12" s="11">
        <f t="shared" si="0"/>
        <v>512</v>
      </c>
      <c r="I12" s="9" t="str">
        <f t="shared" si="1"/>
        <v>OK</v>
      </c>
    </row>
    <row r="13" spans="1:9" x14ac:dyDescent="0.35">
      <c r="A13" s="9">
        <v>3</v>
      </c>
      <c r="B13" s="6" t="s">
        <v>130</v>
      </c>
      <c r="C13" s="6" t="s">
        <v>131</v>
      </c>
      <c r="D13" s="24">
        <v>17</v>
      </c>
      <c r="E13" s="10">
        <v>32768</v>
      </c>
      <c r="F13" s="9" t="str">
        <f>"10."&amp;(Info!$B$5+INT((E13)/65536))&amp;"."&amp;INT(MOD((E13),65536)/256)&amp;"."&amp;MOD((E13),256)&amp;"/"&amp;D13</f>
        <v>10.16.128.0/17</v>
      </c>
      <c r="G13" s="9" t="str">
        <f>"10."&amp;(Info!$B$5+INT((E13)/65536))&amp;"."&amp;INT(MOD((E13),65536)/256)&amp;"."&amp;MOD((E13),256)&amp;" – "&amp;"10."&amp;(Info!$B$5+INT((E13+H13-1)/65536))&amp;"."&amp;INT(MOD((E13+H13-1),65536)/256)&amp;"."&amp;MOD((E13+H13-1),256)</f>
        <v>10.16.128.0 – 10.16.255.255</v>
      </c>
      <c r="H13" s="11">
        <f t="shared" si="0"/>
        <v>32768</v>
      </c>
      <c r="I13" s="9" t="str">
        <f t="shared" si="1"/>
        <v>OK</v>
      </c>
    </row>
    <row r="14" spans="1:9" x14ac:dyDescent="0.35">
      <c r="A14" s="9">
        <v>4</v>
      </c>
      <c r="B14" s="25" t="s">
        <v>132</v>
      </c>
      <c r="C14" s="6" t="s">
        <v>133</v>
      </c>
      <c r="D14" s="24">
        <v>18</v>
      </c>
      <c r="E14" s="10">
        <v>32768</v>
      </c>
      <c r="F14" s="9" t="str">
        <f>"10."&amp;(Info!$B$5+INT((E14)/65536))&amp;"."&amp;INT(MOD((E14),65536)/256)&amp;"."&amp;MOD((E14),256)&amp;"/"&amp;D14</f>
        <v>10.16.128.0/18</v>
      </c>
      <c r="G14" s="9" t="str">
        <f>"10."&amp;(Info!$B$5+INT((E14)/65536))&amp;"."&amp;INT(MOD((E14),65536)/256)&amp;"."&amp;MOD((E14),256)&amp;" – "&amp;"10."&amp;(Info!$B$5+INT((E14+H14-1)/65536))&amp;"."&amp;INT(MOD((E14+H14-1),65536)/256)&amp;"."&amp;MOD((E14+H14-1),256)</f>
        <v>10.16.128.0 – 10.16.191.255</v>
      </c>
      <c r="H14" s="11">
        <f t="shared" si="0"/>
        <v>16384</v>
      </c>
      <c r="I14" s="9" t="str">
        <f t="shared" si="1"/>
        <v>OK</v>
      </c>
    </row>
    <row r="15" spans="1:9" x14ac:dyDescent="0.35">
      <c r="A15" s="9">
        <v>5</v>
      </c>
      <c r="B15" s="6" t="s">
        <v>134</v>
      </c>
      <c r="C15" s="6" t="s">
        <v>135</v>
      </c>
      <c r="D15" s="24">
        <v>21</v>
      </c>
      <c r="E15" s="10">
        <v>40960</v>
      </c>
      <c r="F15" s="9" t="str">
        <f>"10."&amp;(Info!$B$5+INT((E15)/65536))&amp;"."&amp;INT(MOD((E15),65536)/256)&amp;"."&amp;MOD((E15),256)&amp;"/"&amp;D15</f>
        <v>10.16.160.0/21</v>
      </c>
      <c r="G15" s="9" t="str">
        <f>"10."&amp;(Info!$B$5+INT((E15)/65536))&amp;"."&amp;INT(MOD((E15),65536)/256)&amp;"."&amp;MOD((E15),256)&amp;" – "&amp;"10."&amp;(Info!$B$5+INT((E15+H15-1)/65536))&amp;"."&amp;INT(MOD((E15+H15-1),65536)/256)&amp;"."&amp;MOD((E15+H15-1),256)</f>
        <v>10.16.160.0 – 10.16.167.255</v>
      </c>
      <c r="H15" s="11">
        <f t="shared" si="0"/>
        <v>2048</v>
      </c>
      <c r="I15" s="9" t="str">
        <f t="shared" si="1"/>
        <v>OK</v>
      </c>
    </row>
    <row r="16" spans="1:9" x14ac:dyDescent="0.35">
      <c r="A16" s="9">
        <v>4</v>
      </c>
      <c r="B16" s="25" t="s">
        <v>136</v>
      </c>
      <c r="C16" s="6" t="s">
        <v>137</v>
      </c>
      <c r="D16" s="24">
        <v>18</v>
      </c>
      <c r="E16" s="10">
        <v>49152</v>
      </c>
      <c r="F16" s="9" t="str">
        <f>"10."&amp;(Info!$B$5+INT((E16)/65536))&amp;"."&amp;INT(MOD((E16),65536)/256)&amp;"."&amp;MOD((E16),256)&amp;"/"&amp;D16</f>
        <v>10.16.192.0/18</v>
      </c>
      <c r="G16" s="9" t="str">
        <f>"10."&amp;(Info!$B$5+INT((E16)/65536))&amp;"."&amp;INT(MOD((E16),65536)/256)&amp;"."&amp;MOD((E16),256)&amp;" – "&amp;"10."&amp;(Info!$B$5+INT((E16+H16-1)/65536))&amp;"."&amp;INT(MOD((E16+H16-1),65536)/256)&amp;"."&amp;MOD((E16+H16-1),256)</f>
        <v>10.16.192.0 – 10.16.255.255</v>
      </c>
      <c r="H16" s="11">
        <f t="shared" si="0"/>
        <v>16384</v>
      </c>
      <c r="I16" s="9" t="str">
        <f t="shared" si="1"/>
        <v>OK</v>
      </c>
    </row>
    <row r="17" spans="1:9" x14ac:dyDescent="0.35">
      <c r="A17" s="9">
        <v>5</v>
      </c>
      <c r="B17" s="6" t="s">
        <v>138</v>
      </c>
      <c r="C17" s="6" t="s">
        <v>139</v>
      </c>
      <c r="D17" s="24">
        <v>24</v>
      </c>
      <c r="E17" s="10">
        <v>57344</v>
      </c>
      <c r="F17" s="9" t="str">
        <f>"10."&amp;(Info!$B$5+INT((E17)/65536))&amp;"."&amp;INT(MOD((E17),65536)/256)&amp;"."&amp;MOD((E17),256)&amp;"/"&amp;D17</f>
        <v>10.16.224.0/24</v>
      </c>
      <c r="G17" s="9" t="str">
        <f>"10."&amp;(Info!$B$5+INT((E17)/65536))&amp;"."&amp;INT(MOD((E17),65536)/256)&amp;"."&amp;MOD((E17),256)&amp;" – "&amp;"10."&amp;(Info!$B$5+INT((E17+H17-1)/65536))&amp;"."&amp;INT(MOD((E17+H17-1),65536)/256)&amp;"."&amp;MOD((E17+H17-1),256)</f>
        <v>10.16.224.0 – 10.16.224.255</v>
      </c>
      <c r="H17" s="11">
        <f t="shared" si="0"/>
        <v>256</v>
      </c>
      <c r="I17" s="9" t="str">
        <f t="shared" si="1"/>
        <v>OK</v>
      </c>
    </row>
    <row r="18" spans="1:9" x14ac:dyDescent="0.35">
      <c r="A18" s="9">
        <v>2</v>
      </c>
      <c r="B18" s="25" t="s">
        <v>140</v>
      </c>
      <c r="C18" s="6" t="s">
        <v>141</v>
      </c>
      <c r="D18" s="24">
        <v>20</v>
      </c>
      <c r="E18" s="10">
        <v>65536</v>
      </c>
      <c r="F18" s="9" t="str">
        <f>"10."&amp;(Info!$B$5+INT((E18)/65536))&amp;"."&amp;INT(MOD((E18),65536)/256)&amp;"."&amp;MOD((E18),256)&amp;"/"&amp;D18</f>
        <v>10.17.0.0/20</v>
      </c>
      <c r="G18" s="9" t="str">
        <f>"10."&amp;(Info!$B$5+INT((E18)/65536))&amp;"."&amp;INT(MOD((E18),65536)/256)&amp;"."&amp;MOD((E18),256)&amp;" – "&amp;"10."&amp;(Info!$B$5+INT((E18+H18-1)/65536))&amp;"."&amp;INT(MOD((E18+H18-1),65536)/256)&amp;"."&amp;MOD((E18+H18-1),256)</f>
        <v>10.17.0.0 – 10.17.15.255</v>
      </c>
      <c r="H18" s="11">
        <f t="shared" si="0"/>
        <v>4096</v>
      </c>
      <c r="I18" s="9" t="str">
        <f t="shared" si="1"/>
        <v>OK</v>
      </c>
    </row>
    <row r="19" spans="1:9" x14ac:dyDescent="0.35">
      <c r="A19" s="9">
        <v>1</v>
      </c>
      <c r="B19" s="25" t="s">
        <v>142</v>
      </c>
      <c r="C19" s="6" t="s">
        <v>143</v>
      </c>
      <c r="D19" s="24">
        <v>16</v>
      </c>
      <c r="E19" s="10">
        <v>131072</v>
      </c>
      <c r="F19" s="9" t="str">
        <f>"10."&amp;(Info!$B$5+INT((E19)/65536))&amp;"."&amp;INT(MOD((E19),65536)/256)&amp;"."&amp;MOD((E19),256)&amp;"/"&amp;D19</f>
        <v>10.18.0.0/16</v>
      </c>
      <c r="G19" s="9" t="str">
        <f>"10."&amp;(Info!$B$5+INT((E19)/65536))&amp;"."&amp;INT(MOD((E19),65536)/256)&amp;"."&amp;MOD((E19),256)&amp;" – "&amp;"10."&amp;(Info!$B$5+INT((E19+H19-1)/65536))&amp;"."&amp;INT(MOD((E19+H19-1),65536)/256)&amp;"."&amp;MOD((E19+H19-1),256)</f>
        <v>10.18.0.0 – 10.18.255.255</v>
      </c>
      <c r="H19" s="11">
        <f t="shared" si="0"/>
        <v>65536</v>
      </c>
      <c r="I19" s="9" t="str">
        <f t="shared" si="1"/>
        <v>OK</v>
      </c>
    </row>
    <row r="20" spans="1:9" x14ac:dyDescent="0.35">
      <c r="A20" s="9">
        <v>2</v>
      </c>
      <c r="B20" s="6" t="s">
        <v>144</v>
      </c>
      <c r="C20" s="6" t="s">
        <v>145</v>
      </c>
      <c r="D20" s="24">
        <v>17</v>
      </c>
      <c r="E20" s="10">
        <v>131072</v>
      </c>
      <c r="F20" s="9" t="str">
        <f>"10."&amp;(Info!$B$5+INT((E20)/65536))&amp;"."&amp;INT(MOD((E20),65536)/256)&amp;"."&amp;MOD((E20),256)&amp;"/"&amp;D20</f>
        <v>10.18.0.0/17</v>
      </c>
      <c r="G20" s="9" t="str">
        <f>"10."&amp;(Info!$B$5+INT((E20)/65536))&amp;"."&amp;INT(MOD((E20),65536)/256)&amp;"."&amp;MOD((E20),256)&amp;" – "&amp;"10."&amp;(Info!$B$5+INT((E20+H20-1)/65536))&amp;"."&amp;INT(MOD((E20+H20-1),65536)/256)&amp;"."&amp;MOD((E20+H20-1),256)</f>
        <v>10.18.0.0 – 10.18.127.255</v>
      </c>
      <c r="H20" s="11">
        <f t="shared" si="0"/>
        <v>32768</v>
      </c>
      <c r="I20" s="9" t="str">
        <f t="shared" si="1"/>
        <v>OK</v>
      </c>
    </row>
    <row r="21" spans="1:9" x14ac:dyDescent="0.35">
      <c r="A21" s="9">
        <v>3</v>
      </c>
      <c r="B21" s="25" t="s">
        <v>146</v>
      </c>
      <c r="C21" s="6" t="s">
        <v>147</v>
      </c>
      <c r="D21" s="24">
        <v>18</v>
      </c>
      <c r="E21" s="10">
        <v>147456</v>
      </c>
      <c r="F21" s="9" t="str">
        <f>"10."&amp;(Info!$B$5+INT((E21)/65536))&amp;"."&amp;INT(MOD((E21),65536)/256)&amp;"."&amp;MOD((E21),256)&amp;"/"&amp;D21</f>
        <v>10.18.64.0/18</v>
      </c>
      <c r="G21" s="9" t="str">
        <f>"10."&amp;(Info!$B$5+INT((E21)/65536))&amp;"."&amp;INT(MOD((E21),65536)/256)&amp;"."&amp;MOD((E21),256)&amp;" – "&amp;"10."&amp;(Info!$B$5+INT((E21+H21-1)/65536))&amp;"."&amp;INT(MOD((E21+H21-1),65536)/256)&amp;"."&amp;MOD((E21+H21-1),256)</f>
        <v>10.18.64.0 – 10.18.127.255</v>
      </c>
      <c r="H21" s="11">
        <f t="shared" si="0"/>
        <v>16384</v>
      </c>
      <c r="I21" s="9" t="str">
        <f t="shared" si="1"/>
        <v>OK</v>
      </c>
    </row>
    <row r="22" spans="1:9" x14ac:dyDescent="0.35">
      <c r="A22" s="9">
        <v>4</v>
      </c>
      <c r="B22" s="6" t="s">
        <v>148</v>
      </c>
      <c r="C22" s="6" t="s">
        <v>149</v>
      </c>
      <c r="D22" s="24">
        <v>24</v>
      </c>
      <c r="E22" s="10">
        <v>155648</v>
      </c>
      <c r="F22" s="9" t="str">
        <f>"10."&amp;(Info!$B$5+INT((E22)/65536))&amp;"."&amp;INT(MOD((E22),65536)/256)&amp;"."&amp;MOD((E22),256)&amp;"/"&amp;D22</f>
        <v>10.18.96.0/24</v>
      </c>
      <c r="G22" s="9" t="str">
        <f>"10."&amp;(Info!$B$5+INT((E22)/65536))&amp;"."&amp;INT(MOD((E22),65536)/256)&amp;"."&amp;MOD((E22),256)&amp;" – "&amp;"10."&amp;(Info!$B$5+INT((E22+H22-1)/65536))&amp;"."&amp;INT(MOD((E22+H22-1),65536)/256)&amp;"."&amp;MOD((E22+H22-1),256)</f>
        <v>10.18.96.0 – 10.18.96.255</v>
      </c>
      <c r="H22" s="11">
        <f t="shared" si="0"/>
        <v>256</v>
      </c>
      <c r="I22" s="9" t="str">
        <f t="shared" si="1"/>
        <v>OK</v>
      </c>
    </row>
    <row r="23" spans="1:9" x14ac:dyDescent="0.35">
      <c r="A23" s="9">
        <v>2</v>
      </c>
      <c r="B23" s="6" t="s">
        <v>150</v>
      </c>
      <c r="C23" s="6" t="s">
        <v>151</v>
      </c>
      <c r="D23" s="24">
        <v>22</v>
      </c>
      <c r="E23" s="10">
        <v>163840</v>
      </c>
      <c r="F23" s="9" t="str">
        <f>"10."&amp;(Info!$B$5+INT((E23)/65536))&amp;"."&amp;INT(MOD((E23),65536)/256)&amp;"."&amp;MOD((E23),256)&amp;"/"&amp;D23</f>
        <v>10.18.128.0/22</v>
      </c>
      <c r="G23" s="9" t="str">
        <f>"10."&amp;(Info!$B$5+INT((E23)/65536))&amp;"."&amp;INT(MOD((E23),65536)/256)&amp;"."&amp;MOD((E23),256)&amp;" – "&amp;"10."&amp;(Info!$B$5+INT((E23+H23-1)/65536))&amp;"."&amp;INT(MOD((E23+H23-1),65536)/256)&amp;"."&amp;MOD((E23+H23-1),256)</f>
        <v>10.18.128.0 – 10.18.131.255</v>
      </c>
      <c r="H23" s="11">
        <f t="shared" si="0"/>
        <v>1024</v>
      </c>
      <c r="I23" s="9" t="str">
        <f t="shared" si="1"/>
        <v>OK</v>
      </c>
    </row>
    <row r="26" spans="1:9" x14ac:dyDescent="0.35">
      <c r="A26" s="26" t="s">
        <v>152</v>
      </c>
    </row>
    <row r="27" spans="1:9" x14ac:dyDescent="0.35">
      <c r="A27" s="5"/>
      <c r="B27" s="5" t="s">
        <v>34</v>
      </c>
      <c r="C27" s="5" t="s">
        <v>153</v>
      </c>
      <c r="D27" s="5" t="s">
        <v>154</v>
      </c>
      <c r="E27" s="5"/>
      <c r="F27" s="5" t="s">
        <v>155</v>
      </c>
      <c r="G27" s="5" t="s">
        <v>156</v>
      </c>
    </row>
    <row r="28" spans="1:9" x14ac:dyDescent="0.35">
      <c r="A28" s="6"/>
      <c r="B28" s="6" t="s">
        <v>42</v>
      </c>
      <c r="C28" s="6" t="s">
        <v>157</v>
      </c>
      <c r="D28" s="1" t="str">
        <f>F9</f>
        <v>10.16.0.0/18</v>
      </c>
      <c r="E28" s="1"/>
      <c r="F28" s="9" t="str">
        <f>"10."&amp;(Info!$B$5+INT((INDEX(CIDR!$L$5:$L$24,MATCH("L1 PUSAT-DC",CIDR!$B$5:$B$24,0))+2)/65536))&amp;"."&amp;INT(MOD((INDEX(CIDR!$L$5:$L$24,MATCH("L1 PUSAT-DC",CIDR!$B$5:$B$24,0))+2),65536)/256)&amp;"."&amp;MOD((INDEX(CIDR!$L$5:$L$24,MATCH("L1 PUSAT-DC",CIDR!$B$5:$B$24,0))+2),256)</f>
        <v>10.16.33.2</v>
      </c>
      <c r="G28" s="9" t="s">
        <v>158</v>
      </c>
    </row>
    <row r="29" spans="1:9" x14ac:dyDescent="0.35">
      <c r="A29" s="6"/>
      <c r="B29" s="6" t="s">
        <v>42</v>
      </c>
      <c r="C29" s="6" t="s">
        <v>159</v>
      </c>
      <c r="D29" s="1" t="str">
        <f>F11</f>
        <v>10.16.64.0/18</v>
      </c>
      <c r="E29" s="1"/>
      <c r="F29" s="9" t="str">
        <f>"10."&amp;(Info!$B$5+INT((INDEX(CIDR!$L$5:$L$24,MATCH("L5 PUSAT-BARAT",CIDR!$B$5:$B$24,0))+2)/65536))&amp;"."&amp;INT(MOD((INDEX(CIDR!$L$5:$L$24,MATCH("L5 PUSAT-BARAT",CIDR!$B$5:$B$24,0))+2),65536)/256)&amp;"."&amp;MOD((INDEX(CIDR!$L$5:$L$24,MATCH("L5 PUSAT-BARAT",CIDR!$B$5:$B$24,0))+2),256)</f>
        <v>10.16.97.2</v>
      </c>
      <c r="G29" s="9" t="s">
        <v>160</v>
      </c>
    </row>
    <row r="30" spans="1:9" x14ac:dyDescent="0.35">
      <c r="A30" s="6"/>
      <c r="B30" s="6" t="s">
        <v>42</v>
      </c>
      <c r="C30" s="6" t="s">
        <v>161</v>
      </c>
      <c r="D30" s="1" t="str">
        <f>F14</f>
        <v>10.16.128.0/18</v>
      </c>
      <c r="E30" s="1"/>
      <c r="F30" s="9" t="str">
        <f>"10."&amp;(Info!$B$5+INT((INDEX(CIDR!$L$5:$L$24,MATCH("L4 PUSAT-TIMUR",CIDR!$B$5:$B$24,0))+2)/65536))&amp;"."&amp;INT(MOD((INDEX(CIDR!$L$5:$L$24,MATCH("L4 PUSAT-TIMUR",CIDR!$B$5:$B$24,0))+2),65536)/256)&amp;"."&amp;MOD((INDEX(CIDR!$L$5:$L$24,MATCH("L4 PUSAT-TIMUR",CIDR!$B$5:$B$24,0))+2),256)</f>
        <v>10.16.164.2</v>
      </c>
      <c r="G30" s="9" t="s">
        <v>162</v>
      </c>
    </row>
    <row r="31" spans="1:9" x14ac:dyDescent="0.35">
      <c r="A31" s="6"/>
      <c r="B31" s="6" t="s">
        <v>42</v>
      </c>
      <c r="C31" s="6" t="s">
        <v>163</v>
      </c>
      <c r="D31" s="1" t="str">
        <f>F16</f>
        <v>10.16.192.0/18</v>
      </c>
      <c r="E31" s="1"/>
      <c r="F31" s="9" t="str">
        <f>"10."&amp;(Info!$B$5+INT((INDEX(CIDR!$L$5:$L$24,MATCH("L3 PUSAT-SELATAN",CIDR!$B$5:$B$24,0))+2)/65536))&amp;"."&amp;INT(MOD((INDEX(CIDR!$L$5:$L$24,MATCH("L3 PUSAT-SELATAN",CIDR!$B$5:$B$24,0))+2),65536)/256)&amp;"."&amp;MOD((INDEX(CIDR!$L$5:$L$24,MATCH("L3 PUSAT-SELATAN",CIDR!$B$5:$B$24,0))+2),256)</f>
        <v>10.16.224.130</v>
      </c>
      <c r="G31" s="9" t="s">
        <v>164</v>
      </c>
    </row>
    <row r="32" spans="1:9" x14ac:dyDescent="0.35">
      <c r="A32" s="6"/>
      <c r="B32" s="6" t="s">
        <v>42</v>
      </c>
      <c r="C32" s="6" t="s">
        <v>165</v>
      </c>
      <c r="D32" s="1" t="str">
        <f>F19</f>
        <v>10.18.0.0/16</v>
      </c>
      <c r="E32" s="1"/>
      <c r="F32" s="9" t="str">
        <f>"10."&amp;(Info!$B$5+INT((INDEX(CIDR!$L$5:$L$24,MATCH("L2 PUSAT-UTARA",CIDR!$B$5:$B$24,0))+2)/65536))&amp;"."&amp;INT(MOD((INDEX(CIDR!$L$5:$L$24,MATCH("L2 PUSAT-UTARA",CIDR!$B$5:$B$24,0))+2),65536)/256)&amp;"."&amp;MOD((INDEX(CIDR!$L$5:$L$24,MATCH("L2 PUSAT-UTARA",CIDR!$B$5:$B$24,0))+2),256)</f>
        <v>10.18.130.2</v>
      </c>
      <c r="G32" s="9" t="s">
        <v>166</v>
      </c>
    </row>
    <row r="33" spans="1:7" x14ac:dyDescent="0.35">
      <c r="A33" s="6"/>
      <c r="B33" s="6" t="s">
        <v>42</v>
      </c>
      <c r="C33" s="6" t="s">
        <v>167</v>
      </c>
      <c r="D33" s="1" t="s">
        <v>168</v>
      </c>
      <c r="E33" s="1"/>
      <c r="F33" s="9" t="str">
        <f>"203.0.113."&amp;(4*Info!$B$4+1)</f>
        <v>203.0.113.9</v>
      </c>
      <c r="G33" s="9" t="s">
        <v>169</v>
      </c>
    </row>
    <row r="34" spans="1:7" x14ac:dyDescent="0.35">
      <c r="A34" s="6"/>
      <c r="B34" s="6" t="s">
        <v>49</v>
      </c>
      <c r="C34" s="6" t="s">
        <v>170</v>
      </c>
      <c r="D34" s="1" t="str">
        <f>F21</f>
        <v>10.18.64.0/18</v>
      </c>
      <c r="E34" s="1"/>
      <c r="F34" s="9" t="str">
        <f>"10."&amp;(Info!$B$5+INT((INDEX(CIDR!$L$5:$L$24,MATCH("L6 UTARA-PELABUHAN",CIDR!$B$5:$B$24,0))+2)/65536))&amp;"."&amp;INT(MOD((INDEX(CIDR!$L$5:$L$24,MATCH("L6 UTARA-PELABUHAN",CIDR!$B$5:$B$24,0))+2),65536)/256)&amp;"."&amp;MOD((INDEX(CIDR!$L$5:$L$24,MATCH("L6 UTARA-PELABUHAN",CIDR!$B$5:$B$24,0))+2),256)</f>
        <v>10.18.96.130</v>
      </c>
      <c r="G34" s="9" t="s">
        <v>171</v>
      </c>
    </row>
    <row r="35" spans="1:7" x14ac:dyDescent="0.35">
      <c r="A35" s="6"/>
      <c r="B35" s="6" t="s">
        <v>49</v>
      </c>
      <c r="C35" s="6" t="s">
        <v>172</v>
      </c>
      <c r="D35" s="1" t="s">
        <v>168</v>
      </c>
      <c r="E35" s="1"/>
      <c r="F35" s="9" t="str">
        <f>"10."&amp;(Info!$B$5+INT((INDEX(CIDR!$L$5:$L$24,MATCH("L2 PUSAT-UTARA",CIDR!$B$5:$B$24,0))+1)/65536))&amp;"."&amp;INT(MOD((INDEX(CIDR!$L$5:$L$24,MATCH("L2 PUSAT-UTARA",CIDR!$B$5:$B$24,0))+1),65536)/256)&amp;"."&amp;MOD((INDEX(CIDR!$L$5:$L$24,MATCH("L2 PUSAT-UTARA",CIDR!$B$5:$B$24,0))+1),256)</f>
        <v>10.18.130.1</v>
      </c>
      <c r="G35" s="9" t="s">
        <v>173</v>
      </c>
    </row>
    <row r="36" spans="1:7" x14ac:dyDescent="0.35">
      <c r="A36" s="6"/>
      <c r="B36" s="6" t="s">
        <v>46</v>
      </c>
      <c r="C36" s="6" t="s">
        <v>172</v>
      </c>
      <c r="D36" s="1" t="s">
        <v>168</v>
      </c>
      <c r="E36" s="1"/>
      <c r="F36" s="9" t="str">
        <f>"10."&amp;(Info!$B$5+INT((INDEX(CIDR!$L$5:$L$24,MATCH("L1 PUSAT-DC",CIDR!$B$5:$B$24,0))+1)/65536))&amp;"."&amp;INT(MOD((INDEX(CIDR!$L$5:$L$24,MATCH("L1 PUSAT-DC",CIDR!$B$5:$B$24,0))+1),65536)/256)&amp;"."&amp;MOD((INDEX(CIDR!$L$5:$L$24,MATCH("L1 PUSAT-DC",CIDR!$B$5:$B$24,0))+1),256)</f>
        <v>10.16.33.1</v>
      </c>
      <c r="G36" s="9" t="s">
        <v>173</v>
      </c>
    </row>
    <row r="37" spans="1:7" x14ac:dyDescent="0.35">
      <c r="A37" s="6"/>
      <c r="B37" s="6" t="s">
        <v>61</v>
      </c>
      <c r="C37" s="6" t="s">
        <v>172</v>
      </c>
      <c r="D37" s="1" t="s">
        <v>168</v>
      </c>
      <c r="E37" s="1"/>
      <c r="F37" s="9" t="str">
        <f>"10."&amp;(Info!$B$5+INT((INDEX(CIDR!$L$5:$L$24,MATCH("L5 PUSAT-BARAT",CIDR!$B$5:$B$24,0))+1)/65536))&amp;"."&amp;INT(MOD((INDEX(CIDR!$L$5:$L$24,MATCH("L5 PUSAT-BARAT",CIDR!$B$5:$B$24,0))+1),65536)/256)&amp;"."&amp;MOD((INDEX(CIDR!$L$5:$L$24,MATCH("L5 PUSAT-BARAT",CIDR!$B$5:$B$24,0))+1),256)</f>
        <v>10.16.97.1</v>
      </c>
      <c r="G37" s="9" t="s">
        <v>173</v>
      </c>
    </row>
    <row r="38" spans="1:7" x14ac:dyDescent="0.35">
      <c r="A38" s="6"/>
      <c r="B38" s="6" t="s">
        <v>58</v>
      </c>
      <c r="C38" s="6" t="s">
        <v>172</v>
      </c>
      <c r="D38" s="1" t="s">
        <v>168</v>
      </c>
      <c r="E38" s="1"/>
      <c r="F38" s="9" t="str">
        <f>"10."&amp;(Info!$B$5+INT((INDEX(CIDR!$L$5:$L$24,MATCH("L4 PUSAT-TIMUR",CIDR!$B$5:$B$24,0))+1)/65536))&amp;"."&amp;INT(MOD((INDEX(CIDR!$L$5:$L$24,MATCH("L4 PUSAT-TIMUR",CIDR!$B$5:$B$24,0))+1),65536)/256)&amp;"."&amp;MOD((INDEX(CIDR!$L$5:$L$24,MATCH("L4 PUSAT-TIMUR",CIDR!$B$5:$B$24,0))+1),256)</f>
        <v>10.16.164.1</v>
      </c>
      <c r="G38" s="9" t="s">
        <v>173</v>
      </c>
    </row>
    <row r="39" spans="1:7" x14ac:dyDescent="0.35">
      <c r="A39" s="6"/>
      <c r="B39" s="6" t="s">
        <v>55</v>
      </c>
      <c r="C39" s="6" t="s">
        <v>172</v>
      </c>
      <c r="D39" s="1" t="s">
        <v>168</v>
      </c>
      <c r="E39" s="1"/>
      <c r="F39" s="9" t="str">
        <f>"10."&amp;(Info!$B$5+INT((INDEX(CIDR!$L$5:$L$24,MATCH("L3 PUSAT-SELATAN",CIDR!$B$5:$B$24,0))+1)/65536))&amp;"."&amp;INT(MOD((INDEX(CIDR!$L$5:$L$24,MATCH("L3 PUSAT-SELATAN",CIDR!$B$5:$B$24,0))+1),65536)/256)&amp;"."&amp;MOD((INDEX(CIDR!$L$5:$L$24,MATCH("L3 PUSAT-SELATAN",CIDR!$B$5:$B$24,0))+1),256)</f>
        <v>10.16.224.129</v>
      </c>
      <c r="G39" s="9" t="s">
        <v>173</v>
      </c>
    </row>
    <row r="40" spans="1:7" x14ac:dyDescent="0.35">
      <c r="A40" s="6"/>
      <c r="B40" s="6" t="s">
        <v>52</v>
      </c>
      <c r="C40" s="6" t="s">
        <v>172</v>
      </c>
      <c r="D40" s="1" t="s">
        <v>168</v>
      </c>
      <c r="E40" s="1"/>
      <c r="F40" s="9" t="str">
        <f>"10."&amp;(Info!$B$5+INT((INDEX(CIDR!$L$5:$L$24,MATCH("L6 UTARA-PELABUHAN",CIDR!$B$5:$B$24,0))+1)/65536))&amp;"."&amp;INT(MOD((INDEX(CIDR!$L$5:$L$24,MATCH("L6 UTARA-PELABUHAN",CIDR!$B$5:$B$24,0))+1),65536)/256)&amp;"."&amp;MOD((INDEX(CIDR!$L$5:$L$24,MATCH("L6 UTARA-PELABUHAN",CIDR!$B$5:$B$24,0))+1),256)</f>
        <v>10.18.96.129</v>
      </c>
      <c r="G40" s="9" t="s">
        <v>174</v>
      </c>
    </row>
  </sheetData>
  <mergeCells count="13">
    <mergeCell ref="D38:E38"/>
    <mergeCell ref="D39:E39"/>
    <mergeCell ref="D40:E40"/>
    <mergeCell ref="D33:E33"/>
    <mergeCell ref="D34:E34"/>
    <mergeCell ref="D35:E35"/>
    <mergeCell ref="D36:E36"/>
    <mergeCell ref="D37:E37"/>
    <mergeCell ref="D28:E28"/>
    <mergeCell ref="D29:E29"/>
    <mergeCell ref="D30:E30"/>
    <mergeCell ref="D31:E31"/>
    <mergeCell ref="D32:E32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13"/>
  <sheetViews>
    <sheetView showGridLines="0" zoomScaleNormal="100" workbookViewId="0"/>
  </sheetViews>
  <sheetFormatPr defaultColWidth="8.6328125" defaultRowHeight="14.5" x14ac:dyDescent="0.35"/>
  <cols>
    <col min="1" max="1" width="24" customWidth="1"/>
    <col min="2" max="2" width="13" customWidth="1"/>
    <col min="3" max="3" width="18" customWidth="1"/>
    <col min="4" max="4" width="22" customWidth="1"/>
    <col min="5" max="5" width="14" customWidth="1"/>
    <col min="6" max="6" width="12" customWidth="1"/>
    <col min="7" max="7" width="16" customWidth="1"/>
  </cols>
  <sheetData>
    <row r="1" spans="1:7" ht="16.5" x14ac:dyDescent="0.35">
      <c r="A1" s="3" t="s">
        <v>175</v>
      </c>
    </row>
    <row r="2" spans="1:7" x14ac:dyDescent="0.35">
      <c r="A2" s="4" t="s">
        <v>176</v>
      </c>
    </row>
    <row r="4" spans="1:7" ht="26" x14ac:dyDescent="0.35">
      <c r="A4" s="5" t="s">
        <v>177</v>
      </c>
      <c r="B4" s="5" t="s">
        <v>94</v>
      </c>
      <c r="C4" s="5" t="s">
        <v>95</v>
      </c>
      <c r="D4" s="5" t="s">
        <v>178</v>
      </c>
      <c r="E4" s="5" t="s">
        <v>179</v>
      </c>
      <c r="F4" s="5" t="s">
        <v>180</v>
      </c>
      <c r="G4" s="5" t="s">
        <v>181</v>
      </c>
    </row>
    <row r="5" spans="1:7" x14ac:dyDescent="0.35">
      <c r="A5" s="6" t="s">
        <v>182</v>
      </c>
      <c r="B5" s="9" t="str">
        <f>"/"&amp;VLSM!C29</f>
        <v>/16</v>
      </c>
      <c r="C5" s="11">
        <f>VLSM!C30</f>
        <v>65536</v>
      </c>
      <c r="D5" s="11">
        <f>VLSM!C27</f>
        <v>61752</v>
      </c>
      <c r="E5" s="11">
        <f>VLSM!C28</f>
        <v>42092</v>
      </c>
      <c r="F5" s="27">
        <f>E5/C5</f>
        <v>0.64227294921875</v>
      </c>
      <c r="G5" s="11">
        <f>C5-E5</f>
        <v>23444</v>
      </c>
    </row>
    <row r="6" spans="1:7" x14ac:dyDescent="0.35">
      <c r="A6" s="6" t="s">
        <v>8</v>
      </c>
      <c r="B6" s="9" t="str">
        <f>"/"&amp;CIDR!C29</f>
        <v>/14</v>
      </c>
      <c r="C6" s="11">
        <f>CIDR!C30</f>
        <v>262144</v>
      </c>
      <c r="D6" s="11">
        <f>CIDR!C27</f>
        <v>61752</v>
      </c>
      <c r="E6" s="11">
        <f>CIDR!C28</f>
        <v>42092</v>
      </c>
      <c r="F6" s="27">
        <f>E6/C6</f>
        <v>0.1605682373046875</v>
      </c>
      <c r="G6" s="11">
        <f>C6-E6</f>
        <v>220052</v>
      </c>
    </row>
    <row r="8" spans="1:7" x14ac:dyDescent="0.35">
      <c r="A8" s="28" t="s">
        <v>183</v>
      </c>
      <c r="B8" s="29">
        <f>F5-F6</f>
        <v>0.4817047119140625</v>
      </c>
    </row>
    <row r="9" spans="1:7" x14ac:dyDescent="0.35">
      <c r="A9" s="28" t="s">
        <v>184</v>
      </c>
      <c r="B9" s="30" t="str">
        <f>IF(F5&gt;F6,"VLSM","CIDR")</f>
        <v>VLSM</v>
      </c>
    </row>
    <row r="11" spans="1:7" ht="15" customHeight="1" x14ac:dyDescent="0.35">
      <c r="A11" s="2" t="s">
        <v>185</v>
      </c>
      <c r="B11" s="2"/>
      <c r="C11" s="2"/>
      <c r="D11" s="2"/>
      <c r="E11" s="2"/>
      <c r="F11" s="2"/>
      <c r="G11" s="2"/>
    </row>
    <row r="12" spans="1:7" x14ac:dyDescent="0.35">
      <c r="A12" s="2"/>
      <c r="B12" s="2"/>
      <c r="C12" s="2"/>
      <c r="D12" s="2"/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</sheetData>
  <mergeCells count="1">
    <mergeCell ref="A11:G13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2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16" customWidth="1"/>
    <col min="3" max="3" width="28" customWidth="1"/>
    <col min="4" max="4" width="36" customWidth="1"/>
    <col min="5" max="5" width="40" customWidth="1"/>
    <col min="6" max="6" width="52" customWidth="1"/>
  </cols>
  <sheetData>
    <row r="1" spans="1:6" ht="16.5" x14ac:dyDescent="0.35">
      <c r="A1" s="3" t="s">
        <v>186</v>
      </c>
    </row>
    <row r="2" spans="1:6" x14ac:dyDescent="0.35">
      <c r="A2" s="4" t="s">
        <v>187</v>
      </c>
    </row>
    <row r="4" spans="1:6" x14ac:dyDescent="0.35">
      <c r="A4" s="5" t="s">
        <v>33</v>
      </c>
      <c r="B4" s="5" t="s">
        <v>188</v>
      </c>
      <c r="C4" s="5" t="s">
        <v>35</v>
      </c>
      <c r="D4" s="5" t="s">
        <v>189</v>
      </c>
      <c r="E4" s="5" t="s">
        <v>190</v>
      </c>
      <c r="F4" s="5" t="s">
        <v>191</v>
      </c>
    </row>
    <row r="5" spans="1:6" ht="27.75" customHeight="1" x14ac:dyDescent="0.35">
      <c r="A5" s="9">
        <v>1</v>
      </c>
      <c r="B5" s="6" t="s">
        <v>192</v>
      </c>
      <c r="C5" s="6" t="s">
        <v>193</v>
      </c>
      <c r="D5" s="6" t="s">
        <v>194</v>
      </c>
      <c r="E5" s="6" t="str">
        <f>"/"&amp;VLSM!C29</f>
        <v>/16</v>
      </c>
      <c r="F5" s="31" t="s">
        <v>195</v>
      </c>
    </row>
    <row r="6" spans="1:6" ht="27.75" customHeight="1" x14ac:dyDescent="0.35">
      <c r="A6" s="9">
        <v>2</v>
      </c>
      <c r="B6" s="6" t="s">
        <v>196</v>
      </c>
      <c r="C6" s="6" t="s">
        <v>43</v>
      </c>
      <c r="D6" s="6" t="s">
        <v>197</v>
      </c>
      <c r="E6" s="6" t="str">
        <f>INDEX(VLSM!$D$5:$D$24,MATCH("Pegawai Balai Kota",VLSM!$B$5:$B$24,0))&amp;INDEX(VLSM!$E$5:$E$24,MATCH("Pegawai Balai Kota",VLSM!$B$5:$B$24,0))&amp;" bc "&amp;INDEX(VLSM!$H$5:$H$24,MATCH("Pegawai Balai Kota",VLSM!$B$5:$B$24,0))</f>
        <v>10.16.224.0/21 bc 10.16.231.255</v>
      </c>
      <c r="F6" s="31" t="s">
        <v>198</v>
      </c>
    </row>
    <row r="7" spans="1:6" ht="27.75" customHeight="1" x14ac:dyDescent="0.35">
      <c r="A7" s="9">
        <v>3</v>
      </c>
      <c r="B7" s="6" t="s">
        <v>196</v>
      </c>
      <c r="C7" s="6" t="s">
        <v>60</v>
      </c>
      <c r="D7" s="6" t="s">
        <v>199</v>
      </c>
      <c r="E7" s="6" t="str">
        <f>INDEX(VLSM!$D$5:$D$24,MATCH("Sensor Banjir Timur",VLSM!$B$5:$B$24,0))&amp;INDEX(VLSM!$E$5:$E$24,MATCH("Sensor Banjir Timur",VLSM!$B$5:$B$24,0))&amp;" bc "&amp;INDEX(VLSM!$H$5:$H$24,MATCH("Sensor Banjir Timur",VLSM!$B$5:$B$24,0))</f>
        <v>10.16.232.0/22 bc 10.16.235.255</v>
      </c>
      <c r="F7" s="31" t="s">
        <v>200</v>
      </c>
    </row>
    <row r="8" spans="1:6" ht="27.75" customHeight="1" x14ac:dyDescent="0.35">
      <c r="A8" s="9">
        <v>4</v>
      </c>
      <c r="B8" s="6" t="s">
        <v>196</v>
      </c>
      <c r="C8" s="6" t="s">
        <v>51</v>
      </c>
      <c r="D8" s="6" t="s">
        <v>201</v>
      </c>
      <c r="E8" s="6" t="str">
        <f>INDEX(VLSM!$D$5:$D$24,MATCH("Sensor Lalu Lintas Utara",VLSM!$B$5:$B$24,0))&amp;INDEX(VLSM!$E$5:$E$24,MATCH("Sensor Lalu Lintas Utara",VLSM!$B$5:$B$24,0))&amp;" bc "&amp;INDEX(VLSM!$H$5:$H$24,MATCH("Sensor Lalu Lintas Utara",VLSM!$B$5:$B$24,0))</f>
        <v>10.16.236.0/23 bc 10.16.237.255</v>
      </c>
      <c r="F8" s="31" t="s">
        <v>202</v>
      </c>
    </row>
    <row r="9" spans="1:6" ht="27.75" customHeight="1" x14ac:dyDescent="0.35">
      <c r="A9" s="9">
        <v>5</v>
      </c>
      <c r="B9" s="6" t="s">
        <v>196</v>
      </c>
      <c r="C9" s="6" t="s">
        <v>63</v>
      </c>
      <c r="D9" s="6" t="s">
        <v>203</v>
      </c>
      <c r="E9" s="6" t="str">
        <f>INDEX(VLSM!$D$5:$D$24,MATCH("Puskesmas dan Sekolah Barat",VLSM!$B$5:$B$24,0))&amp;INDEX(VLSM!$E$5:$E$24,MATCH("Puskesmas dan Sekolah Barat",VLSM!$B$5:$B$24,0))&amp;" bc "&amp;INDEX(VLSM!$H$5:$H$24,MATCH("Puskesmas dan Sekolah Barat",VLSM!$B$5:$B$24,0))</f>
        <v>10.16.238.0/24 bc 10.16.238.255</v>
      </c>
      <c r="F9" s="31" t="s">
        <v>204</v>
      </c>
    </row>
    <row r="10" spans="1:6" ht="27.75" customHeight="1" x14ac:dyDescent="0.35">
      <c r="A10" s="9">
        <v>6</v>
      </c>
      <c r="B10" s="6" t="s">
        <v>196</v>
      </c>
      <c r="C10" s="6" t="s">
        <v>48</v>
      </c>
      <c r="D10" s="6" t="s">
        <v>205</v>
      </c>
      <c r="E10" s="6" t="str">
        <f>INDEX(VLSM!$D$5:$D$24,MATCH("Server dan Storage DC",VLSM!$B$5:$B$24,0))&amp;INDEX(VLSM!$E$5:$E$24,MATCH("Server dan Storage DC",VLSM!$B$5:$B$24,0))&amp;" bc "&amp;INDEX(VLSM!$H$5:$H$24,MATCH("Server dan Storage DC",VLSM!$B$5:$B$24,0))</f>
        <v>10.16.239.0/24 bc 10.16.239.255</v>
      </c>
      <c r="F10" s="31" t="s">
        <v>206</v>
      </c>
    </row>
    <row r="11" spans="1:6" ht="27.75" customHeight="1" x14ac:dyDescent="0.35">
      <c r="A11" s="9">
        <v>7</v>
      </c>
      <c r="B11" s="6" t="s">
        <v>196</v>
      </c>
      <c r="C11" s="6" t="s">
        <v>54</v>
      </c>
      <c r="D11" s="6" t="s">
        <v>207</v>
      </c>
      <c r="E11" s="6" t="str">
        <f>INDEX(VLSM!$D$5:$D$24,MATCH("Kantor Pelabuhan",VLSM!$B$5:$B$24,0))&amp;INDEX(VLSM!$E$5:$E$24,MATCH("Kantor Pelabuhan",VLSM!$B$5:$B$24,0))&amp;" bc "&amp;INDEX(VLSM!$H$5:$H$24,MATCH("Kantor Pelabuhan",VLSM!$B$5:$B$24,0))</f>
        <v>10.16.240.0/25 bc 10.16.240.127</v>
      </c>
      <c r="F11" s="31" t="s">
        <v>208</v>
      </c>
    </row>
    <row r="12" spans="1:6" ht="27.75" customHeight="1" x14ac:dyDescent="0.35">
      <c r="A12" s="9">
        <v>8</v>
      </c>
      <c r="B12" s="6" t="s">
        <v>196</v>
      </c>
      <c r="C12" s="6" t="s">
        <v>57</v>
      </c>
      <c r="D12" s="6" t="s">
        <v>209</v>
      </c>
      <c r="E12" s="6" t="str">
        <f>INDEX(VLSM!$D$5:$D$24,MATCH("PJU Pintar Selatan",VLSM!$B$5:$B$24,0))&amp;INDEX(VLSM!$E$5:$E$24,MATCH("PJU Pintar Selatan",VLSM!$B$5:$B$24,0))&amp;" bc "&amp;INDEX(VLSM!$H$5:$H$24,MATCH("PJU Pintar Selatan",VLSM!$B$5:$B$24,0))</f>
        <v>10.16.240.128/25 bc 10.16.240.255</v>
      </c>
      <c r="F12" s="31" t="s">
        <v>208</v>
      </c>
    </row>
    <row r="13" spans="1:6" ht="27.75" customHeight="1" x14ac:dyDescent="0.35">
      <c r="A13" s="9">
        <v>9</v>
      </c>
      <c r="B13" s="6" t="s">
        <v>196</v>
      </c>
      <c r="C13" s="6" t="s">
        <v>45</v>
      </c>
      <c r="D13" s="6" t="s">
        <v>210</v>
      </c>
      <c r="E13" s="6" t="str">
        <f>INDEX(VLSM!$D$5:$D$24,MATCH("Server Balai Kota",VLSM!$B$5:$B$24,0))&amp;INDEX(VLSM!$E$5:$E$24,MATCH("Server Balai Kota",VLSM!$B$5:$B$24,0))&amp;" bc "&amp;INDEX(VLSM!$H$5:$H$24,MATCH("Server Balai Kota",VLSM!$B$5:$B$24,0))</f>
        <v>10.16.241.0/27 bc 10.16.241.31</v>
      </c>
      <c r="F13" s="31" t="s">
        <v>211</v>
      </c>
    </row>
    <row r="14" spans="1:6" ht="27.75" customHeight="1" x14ac:dyDescent="0.35">
      <c r="A14" s="9">
        <v>10</v>
      </c>
      <c r="B14" s="6" t="s">
        <v>196</v>
      </c>
      <c r="C14" s="6" t="s">
        <v>65</v>
      </c>
      <c r="D14" s="6" t="s">
        <v>212</v>
      </c>
      <c r="E14" s="6" t="str">
        <f>INDEX(VLSM!$D$5:$D$24,MATCH("L1 PUSAT-DC",VLSM!$B$5:$B$24,0))&amp;INDEX(VLSM!$E$5:$E$24,MATCH("L1 PUSAT-DC",VLSM!$B$5:$B$24,0))&amp;" bc "&amp;INDEX(VLSM!$H$5:$H$24,MATCH("L1 PUSAT-DC",VLSM!$B$5:$B$24,0))</f>
        <v>10.16.241.32/30 bc 10.16.241.35</v>
      </c>
      <c r="F14" s="31" t="s">
        <v>213</v>
      </c>
    </row>
    <row r="15" spans="1:6" ht="27.75" customHeight="1" x14ac:dyDescent="0.35">
      <c r="A15" s="9">
        <v>11</v>
      </c>
      <c r="B15" s="6" t="s">
        <v>196</v>
      </c>
      <c r="C15" s="6" t="s">
        <v>74</v>
      </c>
      <c r="D15" s="6" t="s">
        <v>214</v>
      </c>
      <c r="E15" s="6" t="str">
        <f>INDEX(VLSM!$D$5:$D$24,MATCH("L5 PUSAT-BARAT",VLSM!$B$5:$B$24,0))&amp;INDEX(VLSM!$E$5:$E$24,MATCH("L5 PUSAT-BARAT",VLSM!$B$5:$B$24,0))&amp;" bc "&amp;INDEX(VLSM!$H$5:$H$24,MATCH("L5 PUSAT-BARAT",VLSM!$B$5:$B$24,0))</f>
        <v>10.16.241.36/30 bc 10.16.241.39</v>
      </c>
      <c r="F15" s="31" t="s">
        <v>215</v>
      </c>
    </row>
    <row r="16" spans="1:6" ht="27.75" customHeight="1" x14ac:dyDescent="0.35">
      <c r="A16" s="9">
        <v>12</v>
      </c>
      <c r="B16" s="6" t="s">
        <v>196</v>
      </c>
      <c r="C16" s="6" t="s">
        <v>68</v>
      </c>
      <c r="D16" s="6" t="s">
        <v>216</v>
      </c>
      <c r="E16" s="6" t="str">
        <f>INDEX(VLSM!$D$5:$D$24,MATCH("L2 PUSAT-UTARA",VLSM!$B$5:$B$24,0))&amp;INDEX(VLSM!$E$5:$E$24,MATCH("L2 PUSAT-UTARA",VLSM!$B$5:$B$24,0))&amp;" bc "&amp;INDEX(VLSM!$H$5:$H$24,MATCH("L2 PUSAT-UTARA",VLSM!$B$5:$B$24,0))</f>
        <v>10.16.241.40/30 bc 10.16.241.43</v>
      </c>
      <c r="F16" s="31" t="s">
        <v>215</v>
      </c>
    </row>
    <row r="17" spans="1:6" ht="27.75" customHeight="1" x14ac:dyDescent="0.35">
      <c r="A17" s="9">
        <v>13</v>
      </c>
      <c r="B17" s="6" t="s">
        <v>196</v>
      </c>
      <c r="C17" s="6" t="s">
        <v>72</v>
      </c>
      <c r="D17" s="6" t="s">
        <v>217</v>
      </c>
      <c r="E17" s="6" t="str">
        <f>INDEX(VLSM!$D$5:$D$24,MATCH("L4 PUSAT-TIMUR",VLSM!$B$5:$B$24,0))&amp;INDEX(VLSM!$E$5:$E$24,MATCH("L4 PUSAT-TIMUR",VLSM!$B$5:$B$24,0))&amp;" bc "&amp;INDEX(VLSM!$H$5:$H$24,MATCH("L4 PUSAT-TIMUR",VLSM!$B$5:$B$24,0))</f>
        <v>10.16.241.44/30 bc 10.16.241.47</v>
      </c>
      <c r="F17" s="31" t="s">
        <v>215</v>
      </c>
    </row>
    <row r="18" spans="1:6" ht="27.75" customHeight="1" x14ac:dyDescent="0.35">
      <c r="A18" s="9">
        <v>14</v>
      </c>
      <c r="B18" s="6" t="s">
        <v>196</v>
      </c>
      <c r="C18" s="6" t="s">
        <v>70</v>
      </c>
      <c r="D18" s="6" t="s">
        <v>218</v>
      </c>
      <c r="E18" s="6" t="str">
        <f>INDEX(VLSM!$D$5:$D$24,MATCH("L3 PUSAT-SELATAN",VLSM!$B$5:$B$24,0))&amp;INDEX(VLSM!$E$5:$E$24,MATCH("L3 PUSAT-SELATAN",VLSM!$B$5:$B$24,0))&amp;" bc "&amp;INDEX(VLSM!$H$5:$H$24,MATCH("L3 PUSAT-SELATAN",VLSM!$B$5:$B$24,0))</f>
        <v>10.16.241.48/30 bc 10.16.241.51</v>
      </c>
      <c r="F18" s="31" t="s">
        <v>215</v>
      </c>
    </row>
    <row r="19" spans="1:6" ht="27.75" customHeight="1" x14ac:dyDescent="0.35">
      <c r="A19" s="9">
        <v>15</v>
      </c>
      <c r="B19" s="6" t="s">
        <v>196</v>
      </c>
      <c r="C19" s="6" t="s">
        <v>76</v>
      </c>
      <c r="D19" s="6" t="s">
        <v>219</v>
      </c>
      <c r="E19" s="6" t="str">
        <f>INDEX(VLSM!$D$5:$D$24,MATCH("L6 UTARA-PELABUHAN",VLSM!$B$5:$B$24,0))&amp;INDEX(VLSM!$E$5:$E$24,MATCH("L6 UTARA-PELABUHAN",VLSM!$B$5:$B$24,0))&amp;" bc "&amp;INDEX(VLSM!$H$5:$H$24,MATCH("L6 UTARA-PELABUHAN",VLSM!$B$5:$B$24,0))</f>
        <v>10.16.241.52/30 bc 10.16.241.55</v>
      </c>
      <c r="F19" s="31" t="s">
        <v>220</v>
      </c>
    </row>
    <row r="20" spans="1:6" ht="27.75" customHeight="1" x14ac:dyDescent="0.35">
      <c r="A20" s="9">
        <v>16</v>
      </c>
      <c r="B20" s="6" t="s">
        <v>221</v>
      </c>
      <c r="C20" s="6" t="s">
        <v>63</v>
      </c>
      <c r="D20" s="6" t="s">
        <v>222</v>
      </c>
      <c r="E20" s="6" t="str">
        <f>"/"&amp;INDEX(Kebutuhan!$H$5:$H$24,MATCH("Puskesmas dan Sekolah Barat",Kebutuhan!$C$5:$C$24,0))</f>
        <v>/24</v>
      </c>
      <c r="F20" s="31" t="s">
        <v>223</v>
      </c>
    </row>
    <row r="21" spans="1:6" ht="27.75" customHeight="1" x14ac:dyDescent="0.35">
      <c r="A21" s="9">
        <v>17</v>
      </c>
      <c r="B21" s="6" t="s">
        <v>224</v>
      </c>
      <c r="C21" s="6" t="s">
        <v>225</v>
      </c>
      <c r="D21" s="6" t="s">
        <v>226</v>
      </c>
      <c r="E21" s="6" t="str">
        <f>"Induk /"&amp;Supernet!D5&amp;"; sisi router sesuai sheet Supernet"</f>
        <v>Induk /14; sisi router sesuai sheet Supernet</v>
      </c>
      <c r="F21" s="31" t="s">
        <v>227</v>
      </c>
    </row>
    <row r="22" spans="1:6" ht="27.75" customHeight="1" x14ac:dyDescent="0.35">
      <c r="A22" s="9">
        <v>18</v>
      </c>
      <c r="B22" s="6" t="s">
        <v>228</v>
      </c>
      <c r="C22" s="6" t="s">
        <v>229</v>
      </c>
      <c r="D22" s="6" t="s">
        <v>230</v>
      </c>
      <c r="E22" s="6" t="s">
        <v>231</v>
      </c>
      <c r="F22" s="31" t="s">
        <v>232</v>
      </c>
    </row>
    <row r="23" spans="1:6" ht="27.75" customHeight="1" x14ac:dyDescent="0.35">
      <c r="A23" s="9">
        <v>19</v>
      </c>
      <c r="B23" s="6" t="s">
        <v>233</v>
      </c>
      <c r="C23" s="6" t="s">
        <v>184</v>
      </c>
      <c r="D23" s="6" t="s">
        <v>8</v>
      </c>
      <c r="E23" s="6" t="str">
        <f>Efisiensi!B9</f>
        <v>VLSM</v>
      </c>
      <c r="F23" s="31" t="s">
        <v>234</v>
      </c>
    </row>
    <row r="24" spans="1:6" ht="27.75" customHeight="1" x14ac:dyDescent="0.35">
      <c r="A24" s="9">
        <v>20</v>
      </c>
      <c r="B24" s="6" t="s">
        <v>235</v>
      </c>
      <c r="C24" s="6" t="s">
        <v>236</v>
      </c>
      <c r="D24" s="6" t="s">
        <v>237</v>
      </c>
      <c r="E24" s="6" t="s">
        <v>238</v>
      </c>
      <c r="F24" s="31" t="s">
        <v>239</v>
      </c>
    </row>
  </sheetData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Kebutuhan</vt:lpstr>
      <vt:lpstr>VLSM</vt:lpstr>
      <vt:lpstr>CIDR</vt:lpstr>
      <vt:lpstr>Supernet</vt:lpstr>
      <vt:lpstr>Efisiensi</vt:lpstr>
      <vt:lpstr>Revisi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Dian Piramidiana</cp:lastModifiedBy>
  <cp:revision>0</cp:revision>
  <dcterms:created xsi:type="dcterms:W3CDTF">2026-10-26T03:51:14Z</dcterms:created>
  <dcterms:modified xsi:type="dcterms:W3CDTF">2026-10-28T03:23:45Z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ude.handoff">
    <vt:lpwstr>GlM3z_a_vJrzBbAT0jTEhLBh5pt3AF7ei59r43lRrv0</vt:lpwstr>
  </property>
</Properties>
</file>