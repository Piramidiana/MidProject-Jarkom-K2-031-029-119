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fo" sheetId="1" state="visible" r:id="rId3"/>
    <sheet name="Kebutuhan" sheetId="2" state="visible" r:id="rId4"/>
    <sheet name="VLSM" sheetId="3" state="visible" r:id="rId5"/>
    <sheet name="CIDR" sheetId="4" state="visible" r:id="rId6"/>
    <sheet name="Supernet" sheetId="5" state="visible" r:id="rId7"/>
    <sheet name="Efisiensi" sheetId="6" state="visible" r:id="rId8"/>
    <sheet name="Revisi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<sst xmlns="http://schemas.openxmlformats.org/spreadsheetml/2006/main" count="412" uniqueCount="237">
  <si>
    <t xml:space="preserve">Mid-Project Jarkom K2 – Subnetting Smart City Kota Surabaya</t>
  </si>
  <si>
    <t xml:space="preserve">Sumber kebutuhan host: soal UTS Komdat Jarkom, 23 Oktober 2026. Sel kuning berteks biru = input; sel lain berisi rumus.</t>
  </si>
  <si>
    <t xml:space="preserve">Parameter</t>
  </si>
  <si>
    <t xml:space="preserve">Nilai</t>
  </si>
  <si>
    <t xml:space="preserve">Nomor kelompok (K)</t>
  </si>
  <si>
    <t xml:space="preserve">Oktet ke-2 (8 × K)</t>
  </si>
  <si>
    <t xml:space="preserve">Base network</t>
  </si>
  <si>
    <t xml:space="preserve">Skema yang dipasang di Packet Tracer</t>
  </si>
  <si>
    <t xml:space="preserve">CIDR</t>
  </si>
  <si>
    <t xml:space="preserve">Link R-PUSAT – R-ISP</t>
  </si>
  <si>
    <t xml:space="preserve">Server internet</t>
  </si>
  <si>
    <t xml:space="preserve">8.8.8.8/24, gateway 8.8.8.1 di R-ISP</t>
  </si>
  <si>
    <t xml:space="preserve">Tunnel GRE</t>
  </si>
  <si>
    <t xml:space="preserve">Domain internal</t>
  </si>
  <si>
    <t xml:space="preserve">Anggota</t>
  </si>
  <si>
    <t xml:space="preserve">Nama</t>
  </si>
  <si>
    <t xml:space="preserve">NRP</t>
  </si>
  <si>
    <t xml:space="preserve">Dian Piramidiana Rachmatika</t>
  </si>
  <si>
    <t xml:space="preserve">5027251031</t>
  </si>
  <si>
    <t xml:space="preserve">Muhammad Rifqi Fathurrahman</t>
  </si>
  <si>
    <t xml:space="preserve">5027251029</t>
  </si>
  <si>
    <t xml:space="preserve">Ronnin Raditya Putra Partono</t>
  </si>
  <si>
    <t xml:space="preserve">5027251119</t>
  </si>
  <si>
    <t xml:space="preserve">Aturan perhitungan</t>
  </si>
  <si>
    <t xml:space="preserve">• Kebutuhan LAN = host + 1 gateway + 2 (network &amp; broadcast). Link antar-router = 2 host + 2 = 4 (/30), tanpa gateway.</t>
  </si>
  <si>
    <t xml:space="preserve">• Gateway setiap LAN = host pertama. Di setiap link /30, router atas memakai host pertama, router bawah host kedua.</t>
  </si>
  <si>
    <t xml:space="preserve">• Offset = posisi alamat relatif terhadap base: (oktet2 − base) × 65536 + oktet3 × 256 + oktet4.</t>
  </si>
  <si>
    <t xml:space="preserve">• VLSM: offset berurutan dari subnet terbesar. CIDR: offset diambil dari pohon penggabungan (sheet Supernet).</t>
  </si>
  <si>
    <t xml:space="preserve">• Kolom Cek: 'OK' berarti network habis dibagi ukuran blok (aligned) dan tidak tumpang tindih dengan baris sebelumnya.</t>
  </si>
  <si>
    <t xml:space="preserve">• Link ISP, server 8.8.8.8, dan tunnel GRE tidak ikut dihitung (sudah diberikan soal).</t>
  </si>
  <si>
    <t xml:space="preserve">• Alasan memilih 10.0.0.0/8: rentang privat terbesar (16,7 juta alamat); kebutuhan CIDR mencapai 262.144 alamat sehingga 192.168.0.0/16 tidak cukup, dan aturan oktet ke-2 = 8 × K hanya leluasa di blok 10.x.</t>
  </si>
  <si>
    <t xml:space="preserve">Tabel Kebutuhan (Soal UTS 1b)</t>
  </si>
  <si>
    <t xml:space="preserve">Host = input dari soal UTS. Kebutuhan, blok, prefix, dan mask dihitung otomatis.</t>
  </si>
  <si>
    <t xml:space="preserve">No</t>
  </si>
  <si>
    <t xml:space="preserve">Router</t>
  </si>
  <si>
    <t xml:space="preserve">Subnet</t>
  </si>
  <si>
    <t xml:space="preserve">Jenis</t>
  </si>
  <si>
    <t xml:space="preserve">Host</t>
  </si>
  <si>
    <t xml:space="preserve">Kebutuhan</t>
  </si>
  <si>
    <t xml:space="preserve">Ukuran blok</t>
  </si>
  <si>
    <t xml:space="preserve">Prefix</t>
  </si>
  <si>
    <t xml:space="preserve">Subnet mask</t>
  </si>
  <si>
    <t xml:space="preserve">R-PUSAT</t>
  </si>
  <si>
    <t xml:space="preserve">Pegawai Balai Kota</t>
  </si>
  <si>
    <t xml:space="preserve">LAN</t>
  </si>
  <si>
    <t xml:space="preserve">Server Balai Kota</t>
  </si>
  <si>
    <t xml:space="preserve">R-DC</t>
  </si>
  <si>
    <t xml:space="preserve">CCTV Kota</t>
  </si>
  <si>
    <t xml:space="preserve">Server dan Storage DC</t>
  </si>
  <si>
    <t xml:space="preserve">R-UTARA</t>
  </si>
  <si>
    <t xml:space="preserve">WiFi Publik Utara</t>
  </si>
  <si>
    <t xml:space="preserve">Sensor Lalu Lintas Utara</t>
  </si>
  <si>
    <t xml:space="preserve">R-PELABUHAN</t>
  </si>
  <si>
    <t xml:space="preserve">Sensor dan SCADA Pelabuhan</t>
  </si>
  <si>
    <t xml:space="preserve">Kantor Pelabuhan</t>
  </si>
  <si>
    <t xml:space="preserve">R-SELATAN</t>
  </si>
  <si>
    <t xml:space="preserve">WiFi Publik Selatan</t>
  </si>
  <si>
    <t xml:space="preserve">PJU Pintar Selatan</t>
  </si>
  <si>
    <t xml:space="preserve">R-TIMUR</t>
  </si>
  <si>
    <t xml:space="preserve">WiFi Publik Timur</t>
  </si>
  <si>
    <t xml:space="preserve">Sensor Banjir Timur</t>
  </si>
  <si>
    <t xml:space="preserve">R-BARAT</t>
  </si>
  <si>
    <t xml:space="preserve">WiFi Publik Barat</t>
  </si>
  <si>
    <t xml:space="preserve">Puskesmas dan Sekolah Barat</t>
  </si>
  <si>
    <t xml:space="preserve">R-PUSAT – R-DC</t>
  </si>
  <si>
    <t xml:space="preserve">L1 PUSAT-DC</t>
  </si>
  <si>
    <t xml:space="preserve">Link</t>
  </si>
  <si>
    <t xml:space="preserve">R-PUSAT – R-UTARA</t>
  </si>
  <si>
    <t xml:space="preserve">L2 PUSAT-UTARA</t>
  </si>
  <si>
    <t xml:space="preserve">R-PUSAT – R-SELATAN</t>
  </si>
  <si>
    <t xml:space="preserve">L3 PUSAT-SELATAN</t>
  </si>
  <si>
    <t xml:space="preserve">R-PUSAT – R-TIMUR</t>
  </si>
  <si>
    <t xml:space="preserve">L4 PUSAT-TIMUR</t>
  </si>
  <si>
    <t xml:space="preserve">R-PUSAT – R-BARAT</t>
  </si>
  <si>
    <t xml:space="preserve">L5 PUSAT-BARAT</t>
  </si>
  <si>
    <t xml:space="preserve">R-UTARA – R-PELABUHAN</t>
  </si>
  <si>
    <t xml:space="preserve">L6 UTARA-PELABUHAN</t>
  </si>
  <si>
    <t xml:space="preserve">Total</t>
  </si>
  <si>
    <t xml:space="preserve">Tabel VLSM (perbaikan dari lembar UTS)</t>
  </si>
  <si>
    <t xml:space="preserve">Urutan dari blok terbesar; offset berurutan (rumus). Perbaikan terhadap jawaban UTS dicatat di sheet Revisi.</t>
  </si>
  <si>
    <t xml:space="preserve">Router / sisi</t>
  </si>
  <si>
    <t xml:space="preserve">Offset</t>
  </si>
  <si>
    <t xml:space="preserve">Network ID</t>
  </si>
  <si>
    <t xml:space="preserve">Rentang host</t>
  </si>
  <si>
    <t xml:space="preserve">Broadcast</t>
  </si>
  <si>
    <t xml:space="preserve">Gateway</t>
  </si>
  <si>
    <t xml:space="preserve">Cek aligned</t>
  </si>
  <si>
    <t xml:space="preserve">Cek urut</t>
  </si>
  <si>
    <t xml:space="preserve">OK</t>
  </si>
  <si>
    <t xml:space="preserve">Total ukuran blok</t>
  </si>
  <si>
    <t xml:space="preserve">Total host terpakai</t>
  </si>
  <si>
    <t xml:space="preserve">Prefix induk</t>
  </si>
  <si>
    <t xml:space="preserve">Ukuran blok induk</t>
  </si>
  <si>
    <t xml:space="preserve">Blok induk</t>
  </si>
  <si>
    <t xml:space="preserve">Tabel CIDR (diimplementasikan di Packet Tracer)</t>
  </si>
  <si>
    <t xml:space="preserve">Offset (kuning) diambil dari pohon penggabungan di sheet Supernet; network, range, broadcast, dan gateway dihitung otomatis.</t>
  </si>
  <si>
    <t xml:space="preserve">Sisi R-DC</t>
  </si>
  <si>
    <t xml:space="preserve">Sisi R-BARAT</t>
  </si>
  <si>
    <t xml:space="preserve">Sisi R-TIMUR</t>
  </si>
  <si>
    <t xml:space="preserve">Sisi R-SELATAN</t>
  </si>
  <si>
    <t xml:space="preserve">Balai Kota (R-PUSAT)</t>
  </si>
  <si>
    <t xml:space="preserve">Sisi R-UTARA</t>
  </si>
  <si>
    <t xml:space="preserve">Sisi R-PELABUHAN</t>
  </si>
  <si>
    <t xml:space="preserve">Prefix induk (akar pohon)</t>
  </si>
  <si>
    <t xml:space="preserve">Pohon Penggabungan CIDR (Supernet per Router)</t>
  </si>
  <si>
    <t xml:space="preserve">Aturan gabung: prefix sama → naik 1; prefix beda → ambil blok terbesar lalu naik 1. Alokasi atas ke bawah: anak terbesar di awal, anak kedua di awal paruh kedua.</t>
  </si>
  <si>
    <t xml:space="preserve">Level</t>
  </si>
  <si>
    <t xml:space="preserve">Blok</t>
  </si>
  <si>
    <t xml:space="preserve">Network / prefix</t>
  </si>
  <si>
    <t xml:space="preserve">Rentang alamat</t>
  </si>
  <si>
    <t xml:space="preserve">Jumlah alamat</t>
  </si>
  <si>
    <t xml:space="preserve">Induk</t>
  </si>
  <si>
    <t xml:space="preserve">Semua jaringan</t>
  </si>
  <si>
    <t xml:space="preserve">    4 wilayah + Balai Kota</t>
  </si>
  <si>
    <t xml:space="preserve">DC, Barat, Timur, Selatan, Balai Kota</t>
  </si>
  <si>
    <t xml:space="preserve">        DC + Barat + Timur + Selatan</t>
  </si>
  <si>
    <t xml:space="preserve">4 sisi router wilayah</t>
  </si>
  <si>
    <t xml:space="preserve">            DC + Barat</t>
  </si>
  <si>
    <t xml:space="preserve">Sisi R-DC + sisi R-BARAT</t>
  </si>
  <si>
    <t xml:space="preserve">                Sisi R-DC</t>
  </si>
  <si>
    <t xml:space="preserve">CCTV /19 + (Server DC /24 + L1 /30)</t>
  </si>
  <si>
    <t xml:space="preserve">                    Server DC + L1</t>
  </si>
  <si>
    <t xml:space="preserve">Server dan Storage DC /24 + L1 /30</t>
  </si>
  <si>
    <t xml:space="preserve">                Sisi R-BARAT</t>
  </si>
  <si>
    <t xml:space="preserve">WiFi Barat /19 + (Puskesmas /24 + L5 /30)</t>
  </si>
  <si>
    <t xml:space="preserve">                    Puskesmas + L5</t>
  </si>
  <si>
    <t xml:space="preserve">Puskesmas dan Sekolah /24 + L5 /30</t>
  </si>
  <si>
    <t xml:space="preserve">            Timur + Selatan</t>
  </si>
  <si>
    <t xml:space="preserve">Sisi R-TIMUR + sisi R-SELATAN</t>
  </si>
  <si>
    <t xml:space="preserve">                Sisi R-TIMUR</t>
  </si>
  <si>
    <t xml:space="preserve">WiFi Timur /19 + (Banjir /22 + L4 /30)</t>
  </si>
  <si>
    <t xml:space="preserve">                    Banjir + L4</t>
  </si>
  <si>
    <t xml:space="preserve">Sensor Banjir /22 + L4 /30</t>
  </si>
  <si>
    <t xml:space="preserve">                Sisi R-SELATAN</t>
  </si>
  <si>
    <t xml:space="preserve">WiFi Selatan /19 + (PJU /25 + L3 /30)</t>
  </si>
  <si>
    <t xml:space="preserve">                    PJU + L3</t>
  </si>
  <si>
    <t xml:space="preserve">PJU Pintar /25 + L3 /30</t>
  </si>
  <si>
    <t xml:space="preserve">        Balai Kota (R-PUSAT)</t>
  </si>
  <si>
    <t xml:space="preserve">Pegawai /21 + Server Balai Kota /27</t>
  </si>
  <si>
    <t xml:space="preserve">    Sisi R-UTARA</t>
  </si>
  <si>
    <t xml:space="preserve">(WiFi Utara + Pelabuhan) /17 + (Sensor + L2) /22</t>
  </si>
  <si>
    <t xml:space="preserve">        WiFi Utara + Pelabuhan</t>
  </si>
  <si>
    <t xml:space="preserve">WiFi Utara /18 + sisi R-PELABUHAN /18</t>
  </si>
  <si>
    <t xml:space="preserve">            Sisi R-PELABUHAN</t>
  </si>
  <si>
    <t xml:space="preserve">SCADA /19 + (Kantor /25 + L6 /30)</t>
  </si>
  <si>
    <t xml:space="preserve">                Kantor + L6</t>
  </si>
  <si>
    <t xml:space="preserve">Kantor Pelabuhan /25 + L6 /30</t>
  </si>
  <si>
    <t xml:space="preserve">        Sensor + L2</t>
  </si>
  <si>
    <t xml:space="preserve">Sensor Lalu Lintas /23 + L2 /30</t>
  </si>
  <si>
    <t xml:space="preserve">Rencana rute ringkas (acuan soal 3, perlu dicek Fathur)</t>
  </si>
  <si>
    <t xml:space="preserve">Tujuan</t>
  </si>
  <si>
    <t xml:space="preserve">Jaringan</t>
  </si>
  <si>
    <t xml:space="preserve">Next hop</t>
  </si>
  <si>
    <t xml:space="preserve">Keterangan</t>
  </si>
  <si>
    <t xml:space="preserve">LAN sisi R-DC</t>
  </si>
  <si>
    <t xml:space="preserve">via L1</t>
  </si>
  <si>
    <t xml:space="preserve">LAN sisi R-BARAT</t>
  </si>
  <si>
    <t xml:space="preserve">via L5</t>
  </si>
  <si>
    <t xml:space="preserve">LAN sisi R-TIMUR</t>
  </si>
  <si>
    <t xml:space="preserve">via L4</t>
  </si>
  <si>
    <t xml:space="preserve">LAN sisi R-SELATAN</t>
  </si>
  <si>
    <t xml:space="preserve">via L3</t>
  </si>
  <si>
    <t xml:space="preserve">LAN R-UTARA + R-PELABUHAN</t>
  </si>
  <si>
    <t xml:space="preserve">via L2; trafik Balai Kota ke Pelabuhan nanti lewat tunnel GRE (soal 6)</t>
  </si>
  <si>
    <t xml:space="preserve">Default (internet)</t>
  </si>
  <si>
    <t xml:space="preserve">0.0.0.0/0</t>
  </si>
  <si>
    <t xml:space="preserve">R-ISP; asumsi R-ISP host pertama link ISP</t>
  </si>
  <si>
    <t xml:space="preserve">LAN R-PELABUHAN</t>
  </si>
  <si>
    <t xml:space="preserve">via L6</t>
  </si>
  <si>
    <t xml:space="preserve">Default</t>
  </si>
  <si>
    <t xml:space="preserve">ke R-PUSAT</t>
  </si>
  <si>
    <t xml:space="preserve">ke R-UTARA</t>
  </si>
  <si>
    <t xml:space="preserve">Perbandingan Efisiensi VLSM vs CIDR (Soal UTS 5)</t>
  </si>
  <si>
    <t xml:space="preserve">Pemakaian = host terpakai (LAN + 2 per link) ÷ ukuran blok induk.</t>
  </si>
  <si>
    <t xml:space="preserve">Metode</t>
  </si>
  <si>
    <t xml:space="preserve">Total ukuran blok subnet</t>
  </si>
  <si>
    <t xml:space="preserve">Host terpakai</t>
  </si>
  <si>
    <t xml:space="preserve">Pemakaian</t>
  </si>
  <si>
    <t xml:space="preserve">Alamat terbuang</t>
  </si>
  <si>
    <t xml:space="preserve">VLSM</t>
  </si>
  <si>
    <t xml:space="preserve">Selisih pemakaian</t>
  </si>
  <si>
    <t xml:space="preserve">Metode lebih efisien</t>
  </si>
  <si>
    <t xml:space="preserve">Alasan: VLSM menempatkan subnet berurutan tanpa celah, sehingga blok induk hanya /16. CIDR membulatkan setiap sisi router ke blok 2^n (misalnya sisi Utara yang hanya berisi ±25 ribu alamat menjadi /16), sehingga induknya /14. Imbalannya, CIDR membuat rute dan ACL jauh lebih ringkas.</t>
  </si>
  <si>
    <t xml:space="preserve">Tabel Revisi terhadap Lembar Jawaban UTS (23 Oktober 2026)</t>
  </si>
  <si>
    <t xml:space="preserve">Kolom 'Jawaban UTS' disalin dari foto lembar jawaban; kolom 'Perbaikan' mengambil nilai dari sheet VLSM/CIDR.</t>
  </si>
  <si>
    <t xml:space="preserve">Soal / bagian</t>
  </si>
  <si>
    <t xml:space="preserve">Jawaban UTS</t>
  </si>
  <si>
    <t xml:space="preserve">Perbaikan</t>
  </si>
  <si>
    <t xml:space="preserve">Alasan kesalahan</t>
  </si>
  <si>
    <t xml:space="preserve">Soal 5 (VLSM)</t>
  </si>
  <si>
    <t xml:space="preserve">Prefix induk VLSM</t>
  </si>
  <si>
    <t xml:space="preserve">/17</t>
  </si>
  <si>
    <t xml:space="preserve">Total blok 61.752 &gt; 32.768 (/17), sehingga butuh /16 (65.536).</t>
  </si>
  <si>
    <t xml:space="preserve">Soal 3 (VLSM)</t>
  </si>
  <si>
    <t xml:space="preserve">10.16.224.0/21 bc 10.16.230.255</t>
  </si>
  <si>
    <t xml:space="preserve">/21 memakan 8 nilai oktet ke-3 (224–231), bukan 7.</t>
  </si>
  <si>
    <t xml:space="preserve">10.16.231.0/22 bc 10.16.234.255</t>
  </si>
  <si>
    <t xml:space="preserve">Bergeser akibat baris Pegawai; network /22 harus kelipatan 4 pada oktet ke-3.</t>
  </si>
  <si>
    <t xml:space="preserve">10.16.235.0/23 bc 10.16.236.255</t>
  </si>
  <si>
    <t xml:space="preserve">Bergeser; network /23 harus kelipatan 2 pada oktet ke-3.</t>
  </si>
  <si>
    <t xml:space="preserve">10.16.237.0/24 bc 10.16.238.255</t>
  </si>
  <si>
    <t xml:space="preserve">Bergeser, dan /24 hanya memakan 1 nilai oktet ke-3.</t>
  </si>
  <si>
    <t xml:space="preserve">10.16.239.0/24 bc 10.16.240.255</t>
  </si>
  <si>
    <t xml:space="preserve">/24 hanya memakan 1 nilai oktet ke-3.</t>
  </si>
  <si>
    <t xml:space="preserve">10.16.241.0/25 bc 10.16.241.127</t>
  </si>
  <si>
    <t xml:space="preserve">Bergeser akibat baris sebelumnya.</t>
  </si>
  <si>
    <t xml:space="preserve">10.16.241.128/25 bc 10.16.241.255</t>
  </si>
  <si>
    <t xml:space="preserve">10.16.242.0/27 bc 10.16.242.32</t>
  </si>
  <si>
    <t xml:space="preserve">Bergeser; broadcast = network + 32 − 1.</t>
  </si>
  <si>
    <t xml:space="preserve">10.16.242.33/30 bc 10.16.242.36</t>
  </si>
  <si>
    <t xml:space="preserve">Network /30 harus kelipatan 4; broadcast = network + 3.</t>
  </si>
  <si>
    <t xml:space="preserve">10.16.242.37/30 bc 10.16.242.40</t>
  </si>
  <si>
    <t xml:space="preserve">Sama seperti L1.</t>
  </si>
  <si>
    <t xml:space="preserve">10.16.242.41/30 bc 10.16.242.44</t>
  </si>
  <si>
    <t xml:space="preserve">10.16.242.45/30 bc 10.16.242.48</t>
  </si>
  <si>
    <t xml:space="preserve">10.16.242.49/30 bc 10.16.242.52</t>
  </si>
  <si>
    <t xml:space="preserve">Tidak ada</t>
  </si>
  <si>
    <t xml:space="preserve">Link R-UTARA – R-PELABUHAN terlewat dari tabel.</t>
  </si>
  <si>
    <t xml:space="preserve">Soal 2 (sketsa)</t>
  </si>
  <si>
    <t xml:space="preserve">/25</t>
  </si>
  <si>
    <t xml:space="preserve">220 + 3 = 223 &gt; 128, sehingga butuh /24.</t>
  </si>
  <si>
    <t xml:space="preserve">Soal 4a (CIDR)</t>
  </si>
  <si>
    <t xml:space="preserve">Pohon penggabungan</t>
  </si>
  <si>
    <t xml:space="preserve">Induk /15; ukuran sisi router tidak sesuai</t>
  </si>
  <si>
    <t xml:space="preserve">Total sisi 135.168 alamat &gt; 131.072 (/15), sehingga induk harus /14.</t>
  </si>
  <si>
    <t xml:space="preserve">Soal 4b (CIDR)</t>
  </si>
  <si>
    <t xml:space="preserve">Tabel alokasi CIDR</t>
  </si>
  <si>
    <t xml:space="preserve">Belum diisi</t>
  </si>
  <si>
    <t xml:space="preserve">Lihat sheet CIDR</t>
  </si>
  <si>
    <t xml:space="preserve">Dilengkapi dari pohon penggabungan yang diperbaiki.</t>
  </si>
  <si>
    <t xml:space="preserve">Soal 5a</t>
  </si>
  <si>
    <t xml:space="preserve">Pemakaian VLSM 64,23% lebih besar dari CIDR 16,06%.</t>
  </si>
  <si>
    <t xml:space="preserve">Soal 1a</t>
  </si>
  <si>
    <t xml:space="preserve">Alasan rentang privat</t>
  </si>
  <si>
    <t xml:space="preserve">Belum ditulis</t>
  </si>
  <si>
    <t xml:space="preserve">Lihat sheet Info (aturan terakhir)</t>
  </si>
  <si>
    <t xml:space="preserve">Soal meminta alasan memilih rentang privat.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</si>
</sst>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7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</row>
    <row r="4" customFormat="false" ht="15" hidden="false" customHeight="false" outlineLevel="0" collapsed="false">
      <c r="A4" s="4" t="s">
        <v>4</v>
      </c>
      <c r="B4" s="5" t="n">
        <v>2</v>
      </c>
    </row>
    <row r="5" customFormat="false" ht="15" hidden="false" customHeight="false" outlineLevel="0" collapsed="false">
      <c r="A5" s="4" t="s">
        <v>5</v>
      </c>
      <c r="B5" s="4" t="n">
        <f aca="false">8*B4</f>
        <v>16</v>
      </c>
    </row>
    <row r="6" customFormat="false" ht="15" hidden="false" customHeight="false" outlineLevel="0" collapsed="false">
      <c r="A6" s="4" t="s">
        <v>6</v>
      </c>
      <c r="B6" s="4" t="str">
        <f aca="false">"10."&amp;B5&amp;".0.0"</f>
        <v>10.16.0.0</v>
      </c>
    </row>
    <row r="7" customFormat="false" ht="15" hidden="false" customHeight="false" outlineLevel="0" collapsed="false">
      <c r="A7" s="4" t="s">
        <v>7</v>
      </c>
      <c r="B7" s="5" t="s">
        <v>8</v>
      </c>
    </row>
    <row r="8" customFormat="false" ht="15" hidden="false" customHeight="false" outlineLevel="0" collapsed="false">
      <c r="A8" s="4" t="s">
        <v>9</v>
      </c>
      <c r="B8" s="4" t="str">
        <f aca="false">"203.0.113."&amp;(4*B4)&amp;"/30"</f>
        <v>203.0.113.8/30</v>
      </c>
    </row>
    <row r="9" customFormat="false" ht="15" hidden="false" customHeight="false" outlineLevel="0" collapsed="false">
      <c r="A9" s="4" t="s">
        <v>10</v>
      </c>
      <c r="B9" s="4" t="s">
        <v>11</v>
      </c>
    </row>
    <row r="10" customFormat="false" ht="15" hidden="false" customHeight="false" outlineLevel="0" collapsed="false">
      <c r="A10" s="4" t="s">
        <v>12</v>
      </c>
      <c r="B10" s="4" t="str">
        <f aca="false">"192.168."&amp;B4&amp;".0/30 (R-PUSAT .1, R-PELABUHAN .2)"</f>
        <v>192.168.2.0/30 (R-PUSAT .1, R-PELABUHAN .2)</v>
      </c>
    </row>
    <row r="11" customFormat="false" ht="15" hidden="false" customHeight="false" outlineLevel="0" collapsed="false">
      <c r="A11" s="4" t="s">
        <v>13</v>
      </c>
      <c r="B11" s="4" t="str">
        <f aca="false">"k"&amp;B4&amp;".smartcity.lab"</f>
        <v>k2.smartcity.lab</v>
      </c>
    </row>
    <row r="14" customFormat="false" ht="15" hidden="false" customHeight="false" outlineLevel="0" collapsed="false">
      <c r="A14" s="6" t="s">
        <v>14</v>
      </c>
    </row>
    <row r="15" customFormat="false" ht="15" hidden="false" customHeight="false" outlineLevel="0" collapsed="false">
      <c r="A15" s="3" t="s">
        <v>15</v>
      </c>
      <c r="B15" s="3" t="s">
        <v>16</v>
      </c>
    </row>
    <row r="16" customFormat="false" ht="15" hidden="false" customHeight="false" outlineLevel="0" collapsed="false">
      <c r="A16" s="4" t="s">
        <v>17</v>
      </c>
      <c r="B16" s="4" t="s">
        <v>18</v>
      </c>
    </row>
    <row r="17" customFormat="false" ht="15" hidden="false" customHeight="false" outlineLevel="0" collapsed="false">
      <c r="A17" s="4" t="s">
        <v>19</v>
      </c>
      <c r="B17" s="4" t="s">
        <v>20</v>
      </c>
    </row>
    <row r="18" customFormat="false" ht="15" hidden="false" customHeight="false" outlineLevel="0" collapsed="false">
      <c r="A18" s="4" t="s">
        <v>21</v>
      </c>
      <c r="B18" s="4" t="s">
        <v>22</v>
      </c>
    </row>
    <row r="20" customFormat="false" ht="15" hidden="false" customHeight="false" outlineLevel="0" collapsed="false">
      <c r="A20" s="6" t="s">
        <v>23</v>
      </c>
    </row>
    <row r="21" customFormat="false" ht="27.75" hidden="false" customHeight="true" outlineLevel="0" collapsed="false">
      <c r="A21" s="7" t="s">
        <v>24</v>
      </c>
      <c r="B21" s="7"/>
    </row>
    <row r="22" customFormat="false" ht="27.75" hidden="false" customHeight="true" outlineLevel="0" collapsed="false">
      <c r="A22" s="7" t="s">
        <v>25</v>
      </c>
      <c r="B22" s="7"/>
    </row>
    <row r="23" customFormat="false" ht="27.75" hidden="false" customHeight="true" outlineLevel="0" collapsed="false">
      <c r="A23" s="7" t="s">
        <v>26</v>
      </c>
      <c r="B23" s="7"/>
    </row>
    <row r="24" customFormat="false" ht="27.75" hidden="false" customHeight="true" outlineLevel="0" collapsed="false">
      <c r="A24" s="7" t="s">
        <v>27</v>
      </c>
      <c r="B24" s="7"/>
    </row>
    <row r="25" customFormat="false" ht="27.75" hidden="false" customHeight="true" outlineLevel="0" collapsed="false">
      <c r="A25" s="7" t="s">
        <v>28</v>
      </c>
      <c r="B25" s="7"/>
    </row>
    <row r="26" customFormat="false" ht="27.75" hidden="false" customHeight="true" outlineLevel="0" collapsed="false">
      <c r="A26" s="7" t="s">
        <v>29</v>
      </c>
      <c r="B26" s="7"/>
    </row>
    <row r="27" customFormat="false" ht="27.75" hidden="false" customHeight="true" outlineLevel="0" collapsed="false">
      <c r="A27" s="7" t="s">
        <v>30</v>
      </c>
      <c r="B27" s="7"/>
    </row>
  </sheetData>
  <mergeCells count="7">
    <mergeCell ref="A21:B21"/>
    <mergeCell ref="A22:B22"/>
    <mergeCell ref="A23:B23"/>
    <mergeCell ref="A24:B24"/>
    <mergeCell ref="A25:B25"/>
    <mergeCell ref="A26:B26"/>
    <mergeCell ref="A27:B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8"/>
    <col collapsed="false" customWidth="true" hidden="false" outlineLevel="0" max="9" min="9" style="0" width="18"/>
  </cols>
  <sheetData>
    <row r="1" customFormat="false" ht="16.15" hidden="false" customHeight="false" outlineLevel="0" collapsed="false">
      <c r="A1" s="1" t="s">
        <v>31</v>
      </c>
    </row>
    <row r="2" customFormat="false" ht="15" hidden="false" customHeight="false" outlineLevel="0" collapsed="false">
      <c r="A2" s="2" t="s">
        <v>32</v>
      </c>
    </row>
    <row r="4" customFormat="false" ht="15" hidden="false" customHeight="false" outlineLevel="0" collapsed="false">
      <c r="A4" s="3" t="s">
        <v>33</v>
      </c>
      <c r="B4" s="3" t="s">
        <v>34</v>
      </c>
      <c r="C4" s="3" t="s">
        <v>35</v>
      </c>
      <c r="D4" s="3" t="s">
        <v>36</v>
      </c>
      <c r="E4" s="3" t="s">
        <v>37</v>
      </c>
      <c r="F4" s="3" t="s">
        <v>38</v>
      </c>
      <c r="G4" s="3" t="s">
        <v>39</v>
      </c>
      <c r="H4" s="3" t="s">
        <v>40</v>
      </c>
      <c r="I4" s="3" t="s">
        <v>41</v>
      </c>
    </row>
    <row r="5" customFormat="false" ht="15" hidden="false" customHeight="false" outlineLevel="0" collapsed="false">
      <c r="A5" s="4" t="n">
        <v>1</v>
      </c>
      <c r="B5" s="4" t="s">
        <v>42</v>
      </c>
      <c r="C5" s="4" t="s">
        <v>43</v>
      </c>
      <c r="D5" s="4" t="s">
        <v>44</v>
      </c>
      <c r="E5" s="8" t="n">
        <v>1800</v>
      </c>
      <c r="F5" s="9" t="n">
        <f aca="false">IF(D5="Link",E5+2,E5+3)</f>
        <v>1803</v>
      </c>
      <c r="G5" s="9" t="n">
        <f aca="false">2^CEILING(ROUND(LOG(F5,2),9),1)</f>
        <v>2048</v>
      </c>
      <c r="H5" s="4" t="n">
        <f aca="false">32-ROUND(LOG(G5,2),0)</f>
        <v>21</v>
      </c>
      <c r="I5" s="4" t="str">
        <f aca="false">(256-2^(8-MIN(8,MAX(0,H5-0))))&amp;"."&amp;(256-2^(8-MIN(8,MAX(0,H5-8))))&amp;"."&amp;(256-2^(8-MIN(8,MAX(0,H5-16))))&amp;"."&amp;(256-2^(8-MIN(8,MAX(0,H5-24))))</f>
        <v>255.255.248.0</v>
      </c>
    </row>
    <row r="6" customFormat="false" ht="15" hidden="false" customHeight="false" outlineLevel="0" collapsed="false">
      <c r="A6" s="4" t="n">
        <v>2</v>
      </c>
      <c r="B6" s="4" t="s">
        <v>42</v>
      </c>
      <c r="C6" s="4" t="s">
        <v>45</v>
      </c>
      <c r="D6" s="4" t="s">
        <v>44</v>
      </c>
      <c r="E6" s="8" t="n">
        <v>20</v>
      </c>
      <c r="F6" s="9" t="n">
        <f aca="false">IF(D6="Link",E6+2,E6+3)</f>
        <v>23</v>
      </c>
      <c r="G6" s="9" t="n">
        <f aca="false">2^CEILING(ROUND(LOG(F6,2),9),1)</f>
        <v>32</v>
      </c>
      <c r="H6" s="4" t="n">
        <f aca="false">32-ROUND(LOG(G6,2),0)</f>
        <v>27</v>
      </c>
      <c r="I6" s="4" t="str">
        <f aca="false">(256-2^(8-MIN(8,MAX(0,H6-0))))&amp;"."&amp;(256-2^(8-MIN(8,MAX(0,H6-8))))&amp;"."&amp;(256-2^(8-MIN(8,MAX(0,H6-16))))&amp;"."&amp;(256-2^(8-MIN(8,MAX(0,H6-24))))</f>
        <v>255.255.255.224</v>
      </c>
    </row>
    <row r="7" customFormat="false" ht="15" hidden="false" customHeight="false" outlineLevel="0" collapsed="false">
      <c r="A7" s="4" t="n">
        <v>3</v>
      </c>
      <c r="B7" s="4" t="s">
        <v>46</v>
      </c>
      <c r="C7" s="4" t="s">
        <v>47</v>
      </c>
      <c r="D7" s="4" t="s">
        <v>44</v>
      </c>
      <c r="E7" s="8" t="n">
        <v>6000</v>
      </c>
      <c r="F7" s="9" t="n">
        <f aca="false">IF(D7="Link",E7+2,E7+3)</f>
        <v>6003</v>
      </c>
      <c r="G7" s="9" t="n">
        <f aca="false">2^CEILING(ROUND(LOG(F7,2),9),1)</f>
        <v>8192</v>
      </c>
      <c r="H7" s="4" t="n">
        <f aca="false">32-ROUND(LOG(G7,2),0)</f>
        <v>19</v>
      </c>
      <c r="I7" s="4" t="str">
        <f aca="false">(256-2^(8-MIN(8,MAX(0,H7-0))))&amp;"."&amp;(256-2^(8-MIN(8,MAX(0,H7-8))))&amp;"."&amp;(256-2^(8-MIN(8,MAX(0,H7-16))))&amp;"."&amp;(256-2^(8-MIN(8,MAX(0,H7-24))))</f>
        <v>255.255.224.0</v>
      </c>
    </row>
    <row r="8" customFormat="false" ht="15" hidden="false" customHeight="false" outlineLevel="0" collapsed="false">
      <c r="A8" s="4" t="n">
        <v>4</v>
      </c>
      <c r="B8" s="4" t="s">
        <v>46</v>
      </c>
      <c r="C8" s="4" t="s">
        <v>48</v>
      </c>
      <c r="D8" s="4" t="s">
        <v>44</v>
      </c>
      <c r="E8" s="8" t="n">
        <v>180</v>
      </c>
      <c r="F8" s="9" t="n">
        <f aca="false">IF(D8="Link",E8+2,E8+3)</f>
        <v>183</v>
      </c>
      <c r="G8" s="9" t="n">
        <f aca="false">2^CEILING(ROUND(LOG(F8,2),9),1)</f>
        <v>256</v>
      </c>
      <c r="H8" s="4" t="n">
        <f aca="false">32-ROUND(LOG(G8,2),0)</f>
        <v>24</v>
      </c>
      <c r="I8" s="4" t="str">
        <f aca="false">(256-2^(8-MIN(8,MAX(0,H8-0))))&amp;"."&amp;(256-2^(8-MIN(8,MAX(0,H8-8))))&amp;"."&amp;(256-2^(8-MIN(8,MAX(0,H8-16))))&amp;"."&amp;(256-2^(8-MIN(8,MAX(0,H8-24))))</f>
        <v>255.255.255.0</v>
      </c>
    </row>
    <row r="9" customFormat="false" ht="15" hidden="false" customHeight="false" outlineLevel="0" collapsed="false">
      <c r="A9" s="4" t="n">
        <v>5</v>
      </c>
      <c r="B9" s="4" t="s">
        <v>49</v>
      </c>
      <c r="C9" s="4" t="s">
        <v>50</v>
      </c>
      <c r="D9" s="4" t="s">
        <v>44</v>
      </c>
      <c r="E9" s="8" t="n">
        <v>11000</v>
      </c>
      <c r="F9" s="9" t="n">
        <f aca="false">IF(D9="Link",E9+2,E9+3)</f>
        <v>11003</v>
      </c>
      <c r="G9" s="9" t="n">
        <f aca="false">2^CEILING(ROUND(LOG(F9,2),9),1)</f>
        <v>16384</v>
      </c>
      <c r="H9" s="4" t="n">
        <f aca="false">32-ROUND(LOG(G9,2),0)</f>
        <v>18</v>
      </c>
      <c r="I9" s="4" t="str">
        <f aca="false">(256-2^(8-MIN(8,MAX(0,H9-0))))&amp;"."&amp;(256-2^(8-MIN(8,MAX(0,H9-8))))&amp;"."&amp;(256-2^(8-MIN(8,MAX(0,H9-16))))&amp;"."&amp;(256-2^(8-MIN(8,MAX(0,H9-24))))</f>
        <v>255.255.192.0</v>
      </c>
    </row>
    <row r="10" customFormat="false" ht="15" hidden="false" customHeight="false" outlineLevel="0" collapsed="false">
      <c r="A10" s="4" t="n">
        <v>6</v>
      </c>
      <c r="B10" s="4" t="s">
        <v>49</v>
      </c>
      <c r="C10" s="4" t="s">
        <v>51</v>
      </c>
      <c r="D10" s="4" t="s">
        <v>44</v>
      </c>
      <c r="E10" s="8" t="n">
        <v>450</v>
      </c>
      <c r="F10" s="9" t="n">
        <f aca="false">IF(D10="Link",E10+2,E10+3)</f>
        <v>453</v>
      </c>
      <c r="G10" s="9" t="n">
        <f aca="false">2^CEILING(ROUND(LOG(F10,2),9),1)</f>
        <v>512</v>
      </c>
      <c r="H10" s="4" t="n">
        <f aca="false">32-ROUND(LOG(G10,2),0)</f>
        <v>23</v>
      </c>
      <c r="I10" s="4" t="str">
        <f aca="false">(256-2^(8-MIN(8,MAX(0,H10-0))))&amp;"."&amp;(256-2^(8-MIN(8,MAX(0,H10-8))))&amp;"."&amp;(256-2^(8-MIN(8,MAX(0,H10-16))))&amp;"."&amp;(256-2^(8-MIN(8,MAX(0,H10-24))))</f>
        <v>255.255.254.0</v>
      </c>
    </row>
    <row r="11" customFormat="false" ht="15" hidden="false" customHeight="false" outlineLevel="0" collapsed="false">
      <c r="A11" s="4" t="n">
        <v>7</v>
      </c>
      <c r="B11" s="4" t="s">
        <v>52</v>
      </c>
      <c r="C11" s="4" t="s">
        <v>53</v>
      </c>
      <c r="D11" s="4" t="s">
        <v>44</v>
      </c>
      <c r="E11" s="8" t="n">
        <v>5000</v>
      </c>
      <c r="F11" s="9" t="n">
        <f aca="false">IF(D11="Link",E11+2,E11+3)</f>
        <v>5003</v>
      </c>
      <c r="G11" s="9" t="n">
        <f aca="false">2^CEILING(ROUND(LOG(F11,2),9),1)</f>
        <v>8192</v>
      </c>
      <c r="H11" s="4" t="n">
        <f aca="false">32-ROUND(LOG(G11,2),0)</f>
        <v>19</v>
      </c>
      <c r="I11" s="4" t="str">
        <f aca="false">(256-2^(8-MIN(8,MAX(0,H11-0))))&amp;"."&amp;(256-2^(8-MIN(8,MAX(0,H11-8))))&amp;"."&amp;(256-2^(8-MIN(8,MAX(0,H11-16))))&amp;"."&amp;(256-2^(8-MIN(8,MAX(0,H11-24))))</f>
        <v>255.255.224.0</v>
      </c>
    </row>
    <row r="12" customFormat="false" ht="15" hidden="false" customHeight="false" outlineLevel="0" collapsed="false">
      <c r="A12" s="4" t="n">
        <v>8</v>
      </c>
      <c r="B12" s="4" t="s">
        <v>52</v>
      </c>
      <c r="C12" s="4" t="s">
        <v>54</v>
      </c>
      <c r="D12" s="4" t="s">
        <v>44</v>
      </c>
      <c r="E12" s="8" t="n">
        <v>120</v>
      </c>
      <c r="F12" s="9" t="n">
        <f aca="false">IF(D12="Link",E12+2,E12+3)</f>
        <v>123</v>
      </c>
      <c r="G12" s="9" t="n">
        <f aca="false">2^CEILING(ROUND(LOG(F12,2),9),1)</f>
        <v>128</v>
      </c>
      <c r="H12" s="4" t="n">
        <f aca="false">32-ROUND(LOG(G12,2),0)</f>
        <v>25</v>
      </c>
      <c r="I12" s="4" t="str">
        <f aca="false">(256-2^(8-MIN(8,MAX(0,H12-0))))&amp;"."&amp;(256-2^(8-MIN(8,MAX(0,H12-8))))&amp;"."&amp;(256-2^(8-MIN(8,MAX(0,H12-16))))&amp;"."&amp;(256-2^(8-MIN(8,MAX(0,H12-24))))</f>
        <v>255.255.255.128</v>
      </c>
    </row>
    <row r="13" customFormat="false" ht="15" hidden="false" customHeight="false" outlineLevel="0" collapsed="false">
      <c r="A13" s="4" t="n">
        <v>9</v>
      </c>
      <c r="B13" s="4" t="s">
        <v>55</v>
      </c>
      <c r="C13" s="4" t="s">
        <v>56</v>
      </c>
      <c r="D13" s="4" t="s">
        <v>44</v>
      </c>
      <c r="E13" s="8" t="n">
        <v>6500</v>
      </c>
      <c r="F13" s="9" t="n">
        <f aca="false">IF(D13="Link",E13+2,E13+3)</f>
        <v>6503</v>
      </c>
      <c r="G13" s="9" t="n">
        <f aca="false">2^CEILING(ROUND(LOG(F13,2),9),1)</f>
        <v>8192</v>
      </c>
      <c r="H13" s="4" t="n">
        <f aca="false">32-ROUND(LOG(G13,2),0)</f>
        <v>19</v>
      </c>
      <c r="I13" s="4" t="str">
        <f aca="false">(256-2^(8-MIN(8,MAX(0,H13-0))))&amp;"."&amp;(256-2^(8-MIN(8,MAX(0,H13-8))))&amp;"."&amp;(256-2^(8-MIN(8,MAX(0,H13-16))))&amp;"."&amp;(256-2^(8-MIN(8,MAX(0,H13-24))))</f>
        <v>255.255.224.0</v>
      </c>
    </row>
    <row r="14" customFormat="false" ht="15" hidden="false" customHeight="false" outlineLevel="0" collapsed="false">
      <c r="A14" s="4" t="n">
        <v>10</v>
      </c>
      <c r="B14" s="4" t="s">
        <v>55</v>
      </c>
      <c r="C14" s="4" t="s">
        <v>57</v>
      </c>
      <c r="D14" s="4" t="s">
        <v>44</v>
      </c>
      <c r="E14" s="8" t="n">
        <v>90</v>
      </c>
      <c r="F14" s="9" t="n">
        <f aca="false">IF(D14="Link",E14+2,E14+3)</f>
        <v>93</v>
      </c>
      <c r="G14" s="9" t="n">
        <f aca="false">2^CEILING(ROUND(LOG(F14,2),9),1)</f>
        <v>128</v>
      </c>
      <c r="H14" s="4" t="n">
        <f aca="false">32-ROUND(LOG(G14,2),0)</f>
        <v>25</v>
      </c>
      <c r="I14" s="4" t="str">
        <f aca="false">(256-2^(8-MIN(8,MAX(0,H14-0))))&amp;"."&amp;(256-2^(8-MIN(8,MAX(0,H14-8))))&amp;"."&amp;(256-2^(8-MIN(8,MAX(0,H14-16))))&amp;"."&amp;(256-2^(8-MIN(8,MAX(0,H14-24))))</f>
        <v>255.255.255.128</v>
      </c>
    </row>
    <row r="15" customFormat="false" ht="15" hidden="false" customHeight="false" outlineLevel="0" collapsed="false">
      <c r="A15" s="4" t="n">
        <v>11</v>
      </c>
      <c r="B15" s="4" t="s">
        <v>58</v>
      </c>
      <c r="C15" s="4" t="s">
        <v>59</v>
      </c>
      <c r="D15" s="4" t="s">
        <v>44</v>
      </c>
      <c r="E15" s="8" t="n">
        <v>5500</v>
      </c>
      <c r="F15" s="9" t="n">
        <f aca="false">IF(D15="Link",E15+2,E15+3)</f>
        <v>5503</v>
      </c>
      <c r="G15" s="9" t="n">
        <f aca="false">2^CEILING(ROUND(LOG(F15,2),9),1)</f>
        <v>8192</v>
      </c>
      <c r="H15" s="4" t="n">
        <f aca="false">32-ROUND(LOG(G15,2),0)</f>
        <v>19</v>
      </c>
      <c r="I15" s="4" t="str">
        <f aca="false">(256-2^(8-MIN(8,MAX(0,H15-0))))&amp;"."&amp;(256-2^(8-MIN(8,MAX(0,H15-8))))&amp;"."&amp;(256-2^(8-MIN(8,MAX(0,H15-16))))&amp;"."&amp;(256-2^(8-MIN(8,MAX(0,H15-24))))</f>
        <v>255.255.224.0</v>
      </c>
    </row>
    <row r="16" customFormat="false" ht="15" hidden="false" customHeight="false" outlineLevel="0" collapsed="false">
      <c r="A16" s="4" t="n">
        <v>12</v>
      </c>
      <c r="B16" s="4" t="s">
        <v>58</v>
      </c>
      <c r="C16" s="4" t="s">
        <v>60</v>
      </c>
      <c r="D16" s="4" t="s">
        <v>44</v>
      </c>
      <c r="E16" s="8" t="n">
        <v>700</v>
      </c>
      <c r="F16" s="9" t="n">
        <f aca="false">IF(D16="Link",E16+2,E16+3)</f>
        <v>703</v>
      </c>
      <c r="G16" s="9" t="n">
        <f aca="false">2^CEILING(ROUND(LOG(F16,2),9),1)</f>
        <v>1024</v>
      </c>
      <c r="H16" s="4" t="n">
        <f aca="false">32-ROUND(LOG(G16,2),0)</f>
        <v>22</v>
      </c>
      <c r="I16" s="4" t="str">
        <f aca="false">(256-2^(8-MIN(8,MAX(0,H16-0))))&amp;"."&amp;(256-2^(8-MIN(8,MAX(0,H16-8))))&amp;"."&amp;(256-2^(8-MIN(8,MAX(0,H16-16))))&amp;"."&amp;(256-2^(8-MIN(8,MAX(0,H16-24))))</f>
        <v>255.255.252.0</v>
      </c>
    </row>
    <row r="17" customFormat="false" ht="15" hidden="false" customHeight="false" outlineLevel="0" collapsed="false">
      <c r="A17" s="4" t="n">
        <v>13</v>
      </c>
      <c r="B17" s="4" t="s">
        <v>61</v>
      </c>
      <c r="C17" s="4" t="s">
        <v>62</v>
      </c>
      <c r="D17" s="4" t="s">
        <v>44</v>
      </c>
      <c r="E17" s="8" t="n">
        <v>4500</v>
      </c>
      <c r="F17" s="9" t="n">
        <f aca="false">IF(D17="Link",E17+2,E17+3)</f>
        <v>4503</v>
      </c>
      <c r="G17" s="9" t="n">
        <f aca="false">2^CEILING(ROUND(LOG(F17,2),9),1)</f>
        <v>8192</v>
      </c>
      <c r="H17" s="4" t="n">
        <f aca="false">32-ROUND(LOG(G17,2),0)</f>
        <v>19</v>
      </c>
      <c r="I17" s="4" t="str">
        <f aca="false">(256-2^(8-MIN(8,MAX(0,H17-0))))&amp;"."&amp;(256-2^(8-MIN(8,MAX(0,H17-8))))&amp;"."&amp;(256-2^(8-MIN(8,MAX(0,H17-16))))&amp;"."&amp;(256-2^(8-MIN(8,MAX(0,H17-24))))</f>
        <v>255.255.224.0</v>
      </c>
    </row>
    <row r="18" customFormat="false" ht="15" hidden="false" customHeight="false" outlineLevel="0" collapsed="false">
      <c r="A18" s="4" t="n">
        <v>14</v>
      </c>
      <c r="B18" s="4" t="s">
        <v>61</v>
      </c>
      <c r="C18" s="4" t="s">
        <v>63</v>
      </c>
      <c r="D18" s="4" t="s">
        <v>44</v>
      </c>
      <c r="E18" s="8" t="n">
        <v>220</v>
      </c>
      <c r="F18" s="9" t="n">
        <f aca="false">IF(D18="Link",E18+2,E18+3)</f>
        <v>223</v>
      </c>
      <c r="G18" s="9" t="n">
        <f aca="false">2^CEILING(ROUND(LOG(F18,2),9),1)</f>
        <v>256</v>
      </c>
      <c r="H18" s="4" t="n">
        <f aca="false">32-ROUND(LOG(G18,2),0)</f>
        <v>24</v>
      </c>
      <c r="I18" s="4" t="str">
        <f aca="false">(256-2^(8-MIN(8,MAX(0,H18-0))))&amp;"."&amp;(256-2^(8-MIN(8,MAX(0,H18-8))))&amp;"."&amp;(256-2^(8-MIN(8,MAX(0,H18-16))))&amp;"."&amp;(256-2^(8-MIN(8,MAX(0,H18-24))))</f>
        <v>255.255.255.0</v>
      </c>
    </row>
    <row r="19" customFormat="false" ht="15" hidden="false" customHeight="false" outlineLevel="0" collapsed="false">
      <c r="A19" s="4" t="n">
        <v>15</v>
      </c>
      <c r="B19" s="4" t="s">
        <v>64</v>
      </c>
      <c r="C19" s="4" t="s">
        <v>65</v>
      </c>
      <c r="D19" s="4" t="s">
        <v>66</v>
      </c>
      <c r="E19" s="8" t="n">
        <v>2</v>
      </c>
      <c r="F19" s="9" t="n">
        <f aca="false">IF(D19="Link",E19+2,E19+3)</f>
        <v>4</v>
      </c>
      <c r="G19" s="9" t="n">
        <f aca="false">2^CEILING(ROUND(LOG(F19,2),9),1)</f>
        <v>4</v>
      </c>
      <c r="H19" s="4" t="n">
        <f aca="false">32-ROUND(LOG(G19,2),0)</f>
        <v>30</v>
      </c>
      <c r="I19" s="4" t="str">
        <f aca="false">(256-2^(8-MIN(8,MAX(0,H19-0))))&amp;"."&amp;(256-2^(8-MIN(8,MAX(0,H19-8))))&amp;"."&amp;(256-2^(8-MIN(8,MAX(0,H19-16))))&amp;"."&amp;(256-2^(8-MIN(8,MAX(0,H19-24))))</f>
        <v>255.255.255.252</v>
      </c>
    </row>
    <row r="20" customFormat="false" ht="15" hidden="false" customHeight="false" outlineLevel="0" collapsed="false">
      <c r="A20" s="4" t="n">
        <v>16</v>
      </c>
      <c r="B20" s="4" t="s">
        <v>67</v>
      </c>
      <c r="C20" s="4" t="s">
        <v>68</v>
      </c>
      <c r="D20" s="4" t="s">
        <v>66</v>
      </c>
      <c r="E20" s="8" t="n">
        <v>2</v>
      </c>
      <c r="F20" s="9" t="n">
        <f aca="false">IF(D20="Link",E20+2,E20+3)</f>
        <v>4</v>
      </c>
      <c r="G20" s="9" t="n">
        <f aca="false">2^CEILING(ROUND(LOG(F20,2),9),1)</f>
        <v>4</v>
      </c>
      <c r="H20" s="4" t="n">
        <f aca="false">32-ROUND(LOG(G20,2),0)</f>
        <v>30</v>
      </c>
      <c r="I20" s="4" t="str">
        <f aca="false">(256-2^(8-MIN(8,MAX(0,H20-0))))&amp;"."&amp;(256-2^(8-MIN(8,MAX(0,H20-8))))&amp;"."&amp;(256-2^(8-MIN(8,MAX(0,H20-16))))&amp;"."&amp;(256-2^(8-MIN(8,MAX(0,H20-24))))</f>
        <v>255.255.255.252</v>
      </c>
    </row>
    <row r="21" customFormat="false" ht="15" hidden="false" customHeight="false" outlineLevel="0" collapsed="false">
      <c r="A21" s="4" t="n">
        <v>17</v>
      </c>
      <c r="B21" s="4" t="s">
        <v>69</v>
      </c>
      <c r="C21" s="4" t="s">
        <v>70</v>
      </c>
      <c r="D21" s="4" t="s">
        <v>66</v>
      </c>
      <c r="E21" s="8" t="n">
        <v>2</v>
      </c>
      <c r="F21" s="9" t="n">
        <f aca="false">IF(D21="Link",E21+2,E21+3)</f>
        <v>4</v>
      </c>
      <c r="G21" s="9" t="n">
        <f aca="false">2^CEILING(ROUND(LOG(F21,2),9),1)</f>
        <v>4</v>
      </c>
      <c r="H21" s="4" t="n">
        <f aca="false">32-ROUND(LOG(G21,2),0)</f>
        <v>30</v>
      </c>
      <c r="I21" s="4" t="str">
        <f aca="false">(256-2^(8-MIN(8,MAX(0,H21-0))))&amp;"."&amp;(256-2^(8-MIN(8,MAX(0,H21-8))))&amp;"."&amp;(256-2^(8-MIN(8,MAX(0,H21-16))))&amp;"."&amp;(256-2^(8-MIN(8,MAX(0,H21-24))))</f>
        <v>255.255.255.252</v>
      </c>
    </row>
    <row r="22" customFormat="false" ht="15" hidden="false" customHeight="false" outlineLevel="0" collapsed="false">
      <c r="A22" s="4" t="n">
        <v>18</v>
      </c>
      <c r="B22" s="4" t="s">
        <v>71</v>
      </c>
      <c r="C22" s="4" t="s">
        <v>72</v>
      </c>
      <c r="D22" s="4" t="s">
        <v>66</v>
      </c>
      <c r="E22" s="8" t="n">
        <v>2</v>
      </c>
      <c r="F22" s="9" t="n">
        <f aca="false">IF(D22="Link",E22+2,E22+3)</f>
        <v>4</v>
      </c>
      <c r="G22" s="9" t="n">
        <f aca="false">2^CEILING(ROUND(LOG(F22,2),9),1)</f>
        <v>4</v>
      </c>
      <c r="H22" s="4" t="n">
        <f aca="false">32-ROUND(LOG(G22,2),0)</f>
        <v>30</v>
      </c>
      <c r="I22" s="4" t="str">
        <f aca="false">(256-2^(8-MIN(8,MAX(0,H22-0))))&amp;"."&amp;(256-2^(8-MIN(8,MAX(0,H22-8))))&amp;"."&amp;(256-2^(8-MIN(8,MAX(0,H22-16))))&amp;"."&amp;(256-2^(8-MIN(8,MAX(0,H22-24))))</f>
        <v>255.255.255.252</v>
      </c>
    </row>
    <row r="23" customFormat="false" ht="15" hidden="false" customHeight="false" outlineLevel="0" collapsed="false">
      <c r="A23" s="4" t="n">
        <v>19</v>
      </c>
      <c r="B23" s="4" t="s">
        <v>73</v>
      </c>
      <c r="C23" s="4" t="s">
        <v>74</v>
      </c>
      <c r="D23" s="4" t="s">
        <v>66</v>
      </c>
      <c r="E23" s="8" t="n">
        <v>2</v>
      </c>
      <c r="F23" s="9" t="n">
        <f aca="false">IF(D23="Link",E23+2,E23+3)</f>
        <v>4</v>
      </c>
      <c r="G23" s="9" t="n">
        <f aca="false">2^CEILING(ROUND(LOG(F23,2),9),1)</f>
        <v>4</v>
      </c>
      <c r="H23" s="4" t="n">
        <f aca="false">32-ROUND(LOG(G23,2),0)</f>
        <v>30</v>
      </c>
      <c r="I23" s="4" t="str">
        <f aca="false">(256-2^(8-MIN(8,MAX(0,H23-0))))&amp;"."&amp;(256-2^(8-MIN(8,MAX(0,H23-8))))&amp;"."&amp;(256-2^(8-MIN(8,MAX(0,H23-16))))&amp;"."&amp;(256-2^(8-MIN(8,MAX(0,H23-24))))</f>
        <v>255.255.255.252</v>
      </c>
    </row>
    <row r="24" customFormat="false" ht="15" hidden="false" customHeight="false" outlineLevel="0" collapsed="false">
      <c r="A24" s="4" t="n">
        <v>20</v>
      </c>
      <c r="B24" s="4" t="s">
        <v>75</v>
      </c>
      <c r="C24" s="4" t="s">
        <v>76</v>
      </c>
      <c r="D24" s="4" t="s">
        <v>66</v>
      </c>
      <c r="E24" s="8" t="n">
        <v>2</v>
      </c>
      <c r="F24" s="9" t="n">
        <f aca="false">IF(D24="Link",E24+2,E24+3)</f>
        <v>4</v>
      </c>
      <c r="G24" s="9" t="n">
        <f aca="false">2^CEILING(ROUND(LOG(F24,2),9),1)</f>
        <v>4</v>
      </c>
      <c r="H24" s="4" t="n">
        <f aca="false">32-ROUND(LOG(G24,2),0)</f>
        <v>30</v>
      </c>
      <c r="I24" s="4" t="str">
        <f aca="false">(256-2^(8-MIN(8,MAX(0,H24-0))))&amp;"."&amp;(256-2^(8-MIN(8,MAX(0,H24-8))))&amp;"."&amp;(256-2^(8-MIN(8,MAX(0,H24-16))))&amp;"."&amp;(256-2^(8-MIN(8,MAX(0,H24-24))))</f>
        <v>255.255.255.252</v>
      </c>
    </row>
    <row r="25" customFormat="false" ht="15" hidden="false" customHeight="false" outlineLevel="0" collapsed="false">
      <c r="A25" s="10"/>
      <c r="B25" s="10"/>
      <c r="C25" s="10" t="s">
        <v>77</v>
      </c>
      <c r="D25" s="10"/>
      <c r="E25" s="11" t="n">
        <f aca="false">SUM(E5:E24)</f>
        <v>42092</v>
      </c>
      <c r="F25" s="11" t="n">
        <f aca="false">SUM(F5:F24)</f>
        <v>42146</v>
      </c>
      <c r="G25" s="11" t="n">
        <f aca="false">SUM(G5:G24)</f>
        <v>61752</v>
      </c>
      <c r="H25" s="10"/>
      <c r="I2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9" min="9" style="0" width="16"/>
    <col collapsed="false" customWidth="true" hidden="false" outlineLevel="0" max="10" min="10" style="0" width="32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0"/>
  </cols>
  <sheetData>
    <row r="1" customFormat="false" ht="16.1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4" customFormat="false" ht="15" hidden="false" customHeight="false" outlineLevel="0" collapsed="false">
      <c r="A4" s="3" t="s">
        <v>33</v>
      </c>
      <c r="B4" s="3" t="s">
        <v>35</v>
      </c>
      <c r="C4" s="3" t="s">
        <v>80</v>
      </c>
      <c r="D4" s="3" t="s">
        <v>37</v>
      </c>
      <c r="E4" s="3" t="s">
        <v>40</v>
      </c>
      <c r="F4" s="3" t="s">
        <v>39</v>
      </c>
      <c r="G4" s="3" t="s">
        <v>81</v>
      </c>
      <c r="H4" s="3" t="s">
        <v>82</v>
      </c>
      <c r="I4" s="3" t="s">
        <v>41</v>
      </c>
      <c r="J4" s="3" t="s">
        <v>83</v>
      </c>
      <c r="K4" s="3" t="s">
        <v>84</v>
      </c>
      <c r="L4" s="3" t="s">
        <v>85</v>
      </c>
      <c r="M4" s="3" t="s">
        <v>86</v>
      </c>
      <c r="N4" s="3" t="s">
        <v>87</v>
      </c>
    </row>
    <row r="5" customFormat="false" ht="15" hidden="false" customHeight="false" outlineLevel="0" collapsed="false">
      <c r="A5" s="4" t="n">
        <v>1</v>
      </c>
      <c r="B5" s="4" t="s">
        <v>50</v>
      </c>
      <c r="C5" s="4" t="str">
        <f aca="false">INDEX(Kebutuhan!$B$5:$B$24,MATCH($B5,Kebutuhan!$C$5:$C$24,0))</f>
        <v>R-UTARA</v>
      </c>
      <c r="D5" s="9" t="n">
        <f aca="false">INDEX(Kebutuhan!$E$5:$E$24,MATCH($B5,Kebutuhan!$C$5:$C$24,0))</f>
        <v>11000</v>
      </c>
      <c r="E5" s="4" t="n">
        <f aca="false">INDEX(Kebutuhan!$H$5:$H$24,MATCH($B5,Kebutuhan!$C$5:$C$24,0))</f>
        <v>18</v>
      </c>
      <c r="F5" s="9" t="n">
        <f aca="false">INDEX(Kebutuhan!$G$5:$G$24,MATCH($B5,Kebutuhan!$C$5:$C$24,0))</f>
        <v>16384</v>
      </c>
      <c r="G5" s="9" t="n">
        <v>0</v>
      </c>
      <c r="H5" s="4" t="str">
        <f aca="false">"10."&amp;(Info!$B$5+INT((G5)/65536))&amp;"."&amp;INT(MOD((G5),65536)/256)&amp;"."&amp;MOD((G5),256)</f>
        <v>10.16.0.0</v>
      </c>
      <c r="I5" s="4" t="str">
        <f aca="false">INDEX(Kebutuhan!$I$5:$I$24,MATCH($B5,Kebutuhan!$C$5:$C$24,0))</f>
        <v>255.255.192.0</v>
      </c>
      <c r="J5" s="4" t="str">
        <f aca="false">"10."&amp;(Info!$B$5+INT((G5+1)/65536))&amp;"."&amp;INT(MOD((G5+1),65536)/256)&amp;"."&amp;MOD((G5+1),256)&amp;" – "&amp;"10."&amp;(Info!$B$5+INT((G5+F5-2)/65536))&amp;"."&amp;INT(MOD((G5+F5-2),65536)/256)&amp;"."&amp;MOD((G5+F5-2),256)</f>
        <v>10.16.0.1 – 10.16.63.254</v>
      </c>
      <c r="K5" s="4" t="str">
        <f aca="false">"10."&amp;(Info!$B$5+INT((G5+F5-1)/65536))&amp;"."&amp;INT(MOD((G5+F5-1),65536)/256)&amp;"."&amp;MOD((G5+F5-1),256)</f>
        <v>10.16.63.255</v>
      </c>
      <c r="L5" s="4" t="str">
        <f aca="false">IF(INDEX(Kebutuhan!$D$5:$D$24,MATCH($B5,Kebutuhan!$C$5:$C$24,0))="Link","—","10."&amp;(Info!$B$5+INT((G5+1)/65536))&amp;"."&amp;INT(MOD((G5+1),65536)/256)&amp;"."&amp;MOD((G5+1),256))</f>
        <v>10.16.0.1</v>
      </c>
      <c r="M5" s="4" t="str">
        <f aca="false">IF(MOD(G5,F5)=0,"OK","TIDAK ALIGNED")</f>
        <v>OK</v>
      </c>
      <c r="N5" s="4" t="s">
        <v>88</v>
      </c>
    </row>
    <row r="6" customFormat="false" ht="15" hidden="false" customHeight="false" outlineLevel="0" collapsed="false">
      <c r="A6" s="4" t="n">
        <v>2</v>
      </c>
      <c r="B6" s="4" t="s">
        <v>56</v>
      </c>
      <c r="C6" s="4" t="str">
        <f aca="false">INDEX(Kebutuhan!$B$5:$B$24,MATCH($B6,Kebutuhan!$C$5:$C$24,0))</f>
        <v>R-SELATAN</v>
      </c>
      <c r="D6" s="9" t="n">
        <f aca="false">INDEX(Kebutuhan!$E$5:$E$24,MATCH($B6,Kebutuhan!$C$5:$C$24,0))</f>
        <v>6500</v>
      </c>
      <c r="E6" s="4" t="n">
        <f aca="false">INDEX(Kebutuhan!$H$5:$H$24,MATCH($B6,Kebutuhan!$C$5:$C$24,0))</f>
        <v>19</v>
      </c>
      <c r="F6" s="9" t="n">
        <f aca="false">INDEX(Kebutuhan!$G$5:$G$24,MATCH($B6,Kebutuhan!$C$5:$C$24,0))</f>
        <v>8192</v>
      </c>
      <c r="G6" s="9" t="n">
        <f aca="false">G5+F5</f>
        <v>16384</v>
      </c>
      <c r="H6" s="4" t="str">
        <f aca="false">"10."&amp;(Info!$B$5+INT((G6)/65536))&amp;"."&amp;INT(MOD((G6),65536)/256)&amp;"."&amp;MOD((G6),256)</f>
        <v>10.16.64.0</v>
      </c>
      <c r="I6" s="4" t="str">
        <f aca="false">INDEX(Kebutuhan!$I$5:$I$24,MATCH($B6,Kebutuhan!$C$5:$C$24,0))</f>
        <v>255.255.224.0</v>
      </c>
      <c r="J6" s="4" t="str">
        <f aca="false">"10."&amp;(Info!$B$5+INT((G6+1)/65536))&amp;"."&amp;INT(MOD((G6+1),65536)/256)&amp;"."&amp;MOD((G6+1),256)&amp;" – "&amp;"10."&amp;(Info!$B$5+INT((G6+F6-2)/65536))&amp;"."&amp;INT(MOD((G6+F6-2),65536)/256)&amp;"."&amp;MOD((G6+F6-2),256)</f>
        <v>10.16.64.1 – 10.16.95.254</v>
      </c>
      <c r="K6" s="4" t="str">
        <f aca="false">"10."&amp;(Info!$B$5+INT((G6+F6-1)/65536))&amp;"."&amp;INT(MOD((G6+F6-1),65536)/256)&amp;"."&amp;MOD((G6+F6-1),256)</f>
        <v>10.16.95.255</v>
      </c>
      <c r="L6" s="4" t="str">
        <f aca="false">IF(INDEX(Kebutuhan!$D$5:$D$24,MATCH($B6,Kebutuhan!$C$5:$C$24,0))="Link","—","10."&amp;(Info!$B$5+INT((G6+1)/65536))&amp;"."&amp;INT(MOD((G6+1),65536)/256)&amp;"."&amp;MOD((G6+1),256))</f>
        <v>10.16.64.1</v>
      </c>
      <c r="M6" s="4" t="str">
        <f aca="false">IF(MOD(G6,F6)=0,"OK","TIDAK ALIGNED")</f>
        <v>OK</v>
      </c>
      <c r="N6" s="4" t="str">
        <f aca="false">IF(G6&gt;=G5+F5,"OK","OVERLAP")</f>
        <v>OK</v>
      </c>
    </row>
    <row r="7" customFormat="false" ht="15" hidden="false" customHeight="false" outlineLevel="0" collapsed="false">
      <c r="A7" s="4" t="n">
        <v>3</v>
      </c>
      <c r="B7" s="4" t="s">
        <v>47</v>
      </c>
      <c r="C7" s="4" t="str">
        <f aca="false">INDEX(Kebutuhan!$B$5:$B$24,MATCH($B7,Kebutuhan!$C$5:$C$24,0))</f>
        <v>R-DC</v>
      </c>
      <c r="D7" s="9" t="n">
        <f aca="false">INDEX(Kebutuhan!$E$5:$E$24,MATCH($B7,Kebutuhan!$C$5:$C$24,0))</f>
        <v>6000</v>
      </c>
      <c r="E7" s="4" t="n">
        <f aca="false">INDEX(Kebutuhan!$H$5:$H$24,MATCH($B7,Kebutuhan!$C$5:$C$24,0))</f>
        <v>19</v>
      </c>
      <c r="F7" s="9" t="n">
        <f aca="false">INDEX(Kebutuhan!$G$5:$G$24,MATCH($B7,Kebutuhan!$C$5:$C$24,0))</f>
        <v>8192</v>
      </c>
      <c r="G7" s="9" t="n">
        <f aca="false">G6+F6</f>
        <v>24576</v>
      </c>
      <c r="H7" s="4" t="str">
        <f aca="false">"10."&amp;(Info!$B$5+INT((G7)/65536))&amp;"."&amp;INT(MOD((G7),65536)/256)&amp;"."&amp;MOD((G7),256)</f>
        <v>10.16.96.0</v>
      </c>
      <c r="I7" s="4" t="str">
        <f aca="false">INDEX(Kebutuhan!$I$5:$I$24,MATCH($B7,Kebutuhan!$C$5:$C$24,0))</f>
        <v>255.255.224.0</v>
      </c>
      <c r="J7" s="4" t="str">
        <f aca="false">"10."&amp;(Info!$B$5+INT((G7+1)/65536))&amp;"."&amp;INT(MOD((G7+1),65536)/256)&amp;"."&amp;MOD((G7+1),256)&amp;" – "&amp;"10."&amp;(Info!$B$5+INT((G7+F7-2)/65536))&amp;"."&amp;INT(MOD((G7+F7-2),65536)/256)&amp;"."&amp;MOD((G7+F7-2),256)</f>
        <v>10.16.96.1 – 10.16.127.254</v>
      </c>
      <c r="K7" s="4" t="str">
        <f aca="false">"10."&amp;(Info!$B$5+INT((G7+F7-1)/65536))&amp;"."&amp;INT(MOD((G7+F7-1),65536)/256)&amp;"."&amp;MOD((G7+F7-1),256)</f>
        <v>10.16.127.255</v>
      </c>
      <c r="L7" s="4" t="str">
        <f aca="false">IF(INDEX(Kebutuhan!$D$5:$D$24,MATCH($B7,Kebutuhan!$C$5:$C$24,0))="Link","—","10."&amp;(Info!$B$5+INT((G7+1)/65536))&amp;"."&amp;INT(MOD((G7+1),65536)/256)&amp;"."&amp;MOD((G7+1),256))</f>
        <v>10.16.96.1</v>
      </c>
      <c r="M7" s="4" t="str">
        <f aca="false">IF(MOD(G7,F7)=0,"OK","TIDAK ALIGNED")</f>
        <v>OK</v>
      </c>
      <c r="N7" s="4" t="str">
        <f aca="false">IF(G7&gt;=G6+F6,"OK","OVERLAP")</f>
        <v>OK</v>
      </c>
    </row>
    <row r="8" customFormat="false" ht="15" hidden="false" customHeight="false" outlineLevel="0" collapsed="false">
      <c r="A8" s="4" t="n">
        <v>4</v>
      </c>
      <c r="B8" s="4" t="s">
        <v>59</v>
      </c>
      <c r="C8" s="4" t="str">
        <f aca="false">INDEX(Kebutuhan!$B$5:$B$24,MATCH($B8,Kebutuhan!$C$5:$C$24,0))</f>
        <v>R-TIMUR</v>
      </c>
      <c r="D8" s="9" t="n">
        <f aca="false">INDEX(Kebutuhan!$E$5:$E$24,MATCH($B8,Kebutuhan!$C$5:$C$24,0))</f>
        <v>5500</v>
      </c>
      <c r="E8" s="4" t="n">
        <f aca="false">INDEX(Kebutuhan!$H$5:$H$24,MATCH($B8,Kebutuhan!$C$5:$C$24,0))</f>
        <v>19</v>
      </c>
      <c r="F8" s="9" t="n">
        <f aca="false">INDEX(Kebutuhan!$G$5:$G$24,MATCH($B8,Kebutuhan!$C$5:$C$24,0))</f>
        <v>8192</v>
      </c>
      <c r="G8" s="9" t="n">
        <f aca="false">G7+F7</f>
        <v>32768</v>
      </c>
      <c r="H8" s="4" t="str">
        <f aca="false">"10."&amp;(Info!$B$5+INT((G8)/65536))&amp;"."&amp;INT(MOD((G8),65536)/256)&amp;"."&amp;MOD((G8),256)</f>
        <v>10.16.128.0</v>
      </c>
      <c r="I8" s="4" t="str">
        <f aca="false">INDEX(Kebutuhan!$I$5:$I$24,MATCH($B8,Kebutuhan!$C$5:$C$24,0))</f>
        <v>255.255.224.0</v>
      </c>
      <c r="J8" s="4" t="str">
        <f aca="false">"10."&amp;(Info!$B$5+INT((G8+1)/65536))&amp;"."&amp;INT(MOD((G8+1),65536)/256)&amp;"."&amp;MOD((G8+1),256)&amp;" – "&amp;"10."&amp;(Info!$B$5+INT((G8+F8-2)/65536))&amp;"."&amp;INT(MOD((G8+F8-2),65536)/256)&amp;"."&amp;MOD((G8+F8-2),256)</f>
        <v>10.16.128.1 – 10.16.159.254</v>
      </c>
      <c r="K8" s="4" t="str">
        <f aca="false">"10."&amp;(Info!$B$5+INT((G8+F8-1)/65536))&amp;"."&amp;INT(MOD((G8+F8-1),65536)/256)&amp;"."&amp;MOD((G8+F8-1),256)</f>
        <v>10.16.159.255</v>
      </c>
      <c r="L8" s="4" t="str">
        <f aca="false">IF(INDEX(Kebutuhan!$D$5:$D$24,MATCH($B8,Kebutuhan!$C$5:$C$24,0))="Link","—","10."&amp;(Info!$B$5+INT((G8+1)/65536))&amp;"."&amp;INT(MOD((G8+1),65536)/256)&amp;"."&amp;MOD((G8+1),256))</f>
        <v>10.16.128.1</v>
      </c>
      <c r="M8" s="4" t="str">
        <f aca="false">IF(MOD(G8,F8)=0,"OK","TIDAK ALIGNED")</f>
        <v>OK</v>
      </c>
      <c r="N8" s="4" t="str">
        <f aca="false">IF(G8&gt;=G7+F7,"OK","OVERLAP")</f>
        <v>OK</v>
      </c>
    </row>
    <row r="9" customFormat="false" ht="15" hidden="false" customHeight="false" outlineLevel="0" collapsed="false">
      <c r="A9" s="4" t="n">
        <v>5</v>
      </c>
      <c r="B9" s="4" t="s">
        <v>53</v>
      </c>
      <c r="C9" s="4" t="str">
        <f aca="false">INDEX(Kebutuhan!$B$5:$B$24,MATCH($B9,Kebutuhan!$C$5:$C$24,0))</f>
        <v>R-PELABUHAN</v>
      </c>
      <c r="D9" s="9" t="n">
        <f aca="false">INDEX(Kebutuhan!$E$5:$E$24,MATCH($B9,Kebutuhan!$C$5:$C$24,0))</f>
        <v>5000</v>
      </c>
      <c r="E9" s="4" t="n">
        <f aca="false">INDEX(Kebutuhan!$H$5:$H$24,MATCH($B9,Kebutuhan!$C$5:$C$24,0))</f>
        <v>19</v>
      </c>
      <c r="F9" s="9" t="n">
        <f aca="false">INDEX(Kebutuhan!$G$5:$G$24,MATCH($B9,Kebutuhan!$C$5:$C$24,0))</f>
        <v>8192</v>
      </c>
      <c r="G9" s="9" t="n">
        <f aca="false">G8+F8</f>
        <v>40960</v>
      </c>
      <c r="H9" s="4" t="str">
        <f aca="false">"10."&amp;(Info!$B$5+INT((G9)/65536))&amp;"."&amp;INT(MOD((G9),65536)/256)&amp;"."&amp;MOD((G9),256)</f>
        <v>10.16.160.0</v>
      </c>
      <c r="I9" s="4" t="str">
        <f aca="false">INDEX(Kebutuhan!$I$5:$I$24,MATCH($B9,Kebutuhan!$C$5:$C$24,0))</f>
        <v>255.255.224.0</v>
      </c>
      <c r="J9" s="4" t="str">
        <f aca="false">"10."&amp;(Info!$B$5+INT((G9+1)/65536))&amp;"."&amp;INT(MOD((G9+1),65536)/256)&amp;"."&amp;MOD((G9+1),256)&amp;" – "&amp;"10."&amp;(Info!$B$5+INT((G9+F9-2)/65536))&amp;"."&amp;INT(MOD((G9+F9-2),65536)/256)&amp;"."&amp;MOD((G9+F9-2),256)</f>
        <v>10.16.160.1 – 10.16.191.254</v>
      </c>
      <c r="K9" s="4" t="str">
        <f aca="false">"10."&amp;(Info!$B$5+INT((G9+F9-1)/65536))&amp;"."&amp;INT(MOD((G9+F9-1),65536)/256)&amp;"."&amp;MOD((G9+F9-1),256)</f>
        <v>10.16.191.255</v>
      </c>
      <c r="L9" s="4" t="str">
        <f aca="false">IF(INDEX(Kebutuhan!$D$5:$D$24,MATCH($B9,Kebutuhan!$C$5:$C$24,0))="Link","—","10."&amp;(Info!$B$5+INT((G9+1)/65536))&amp;"."&amp;INT(MOD((G9+1),65536)/256)&amp;"."&amp;MOD((G9+1),256))</f>
        <v>10.16.160.1</v>
      </c>
      <c r="M9" s="4" t="str">
        <f aca="false">IF(MOD(G9,F9)=0,"OK","TIDAK ALIGNED")</f>
        <v>OK</v>
      </c>
      <c r="N9" s="4" t="str">
        <f aca="false">IF(G9&gt;=G8+F8,"OK","OVERLAP")</f>
        <v>OK</v>
      </c>
    </row>
    <row r="10" customFormat="false" ht="15" hidden="false" customHeight="false" outlineLevel="0" collapsed="false">
      <c r="A10" s="4" t="n">
        <v>6</v>
      </c>
      <c r="B10" s="4" t="s">
        <v>62</v>
      </c>
      <c r="C10" s="4" t="str">
        <f aca="false">INDEX(Kebutuhan!$B$5:$B$24,MATCH($B10,Kebutuhan!$C$5:$C$24,0))</f>
        <v>R-BARAT</v>
      </c>
      <c r="D10" s="9" t="n">
        <f aca="false">INDEX(Kebutuhan!$E$5:$E$24,MATCH($B10,Kebutuhan!$C$5:$C$24,0))</f>
        <v>4500</v>
      </c>
      <c r="E10" s="4" t="n">
        <f aca="false">INDEX(Kebutuhan!$H$5:$H$24,MATCH($B10,Kebutuhan!$C$5:$C$24,0))</f>
        <v>19</v>
      </c>
      <c r="F10" s="9" t="n">
        <f aca="false">INDEX(Kebutuhan!$G$5:$G$24,MATCH($B10,Kebutuhan!$C$5:$C$24,0))</f>
        <v>8192</v>
      </c>
      <c r="G10" s="9" t="n">
        <f aca="false">G9+F9</f>
        <v>49152</v>
      </c>
      <c r="H10" s="4" t="str">
        <f aca="false">"10."&amp;(Info!$B$5+INT((G10)/65536))&amp;"."&amp;INT(MOD((G10),65536)/256)&amp;"."&amp;MOD((G10),256)</f>
        <v>10.16.192.0</v>
      </c>
      <c r="I10" s="4" t="str">
        <f aca="false">INDEX(Kebutuhan!$I$5:$I$24,MATCH($B10,Kebutuhan!$C$5:$C$24,0))</f>
        <v>255.255.224.0</v>
      </c>
      <c r="J10" s="4" t="str">
        <f aca="false">"10."&amp;(Info!$B$5+INT((G10+1)/65536))&amp;"."&amp;INT(MOD((G10+1),65536)/256)&amp;"."&amp;MOD((G10+1),256)&amp;" – "&amp;"10."&amp;(Info!$B$5+INT((G10+F10-2)/65536))&amp;"."&amp;INT(MOD((G10+F10-2),65536)/256)&amp;"."&amp;MOD((G10+F10-2),256)</f>
        <v>10.16.192.1 – 10.16.223.254</v>
      </c>
      <c r="K10" s="4" t="str">
        <f aca="false">"10."&amp;(Info!$B$5+INT((G10+F10-1)/65536))&amp;"."&amp;INT(MOD((G10+F10-1),65536)/256)&amp;"."&amp;MOD((G10+F10-1),256)</f>
        <v>10.16.223.255</v>
      </c>
      <c r="L10" s="4" t="str">
        <f aca="false">IF(INDEX(Kebutuhan!$D$5:$D$24,MATCH($B10,Kebutuhan!$C$5:$C$24,0))="Link","—","10."&amp;(Info!$B$5+INT((G10+1)/65536))&amp;"."&amp;INT(MOD((G10+1),65536)/256)&amp;"."&amp;MOD((G10+1),256))</f>
        <v>10.16.192.1</v>
      </c>
      <c r="M10" s="4" t="str">
        <f aca="false">IF(MOD(G10,F10)=0,"OK","TIDAK ALIGNED")</f>
        <v>OK</v>
      </c>
      <c r="N10" s="4" t="str">
        <f aca="false">IF(G10&gt;=G9+F9,"OK","OVERLAP")</f>
        <v>OK</v>
      </c>
    </row>
    <row r="11" customFormat="false" ht="15" hidden="false" customHeight="false" outlineLevel="0" collapsed="false">
      <c r="A11" s="4" t="n">
        <v>7</v>
      </c>
      <c r="B11" s="4" t="s">
        <v>43</v>
      </c>
      <c r="C11" s="4" t="str">
        <f aca="false">INDEX(Kebutuhan!$B$5:$B$24,MATCH($B11,Kebutuhan!$C$5:$C$24,0))</f>
        <v>R-PUSAT</v>
      </c>
      <c r="D11" s="9" t="n">
        <f aca="false">INDEX(Kebutuhan!$E$5:$E$24,MATCH($B11,Kebutuhan!$C$5:$C$24,0))</f>
        <v>1800</v>
      </c>
      <c r="E11" s="4" t="n">
        <f aca="false">INDEX(Kebutuhan!$H$5:$H$24,MATCH($B11,Kebutuhan!$C$5:$C$24,0))</f>
        <v>21</v>
      </c>
      <c r="F11" s="9" t="n">
        <f aca="false">INDEX(Kebutuhan!$G$5:$G$24,MATCH($B11,Kebutuhan!$C$5:$C$24,0))</f>
        <v>2048</v>
      </c>
      <c r="G11" s="9" t="n">
        <f aca="false">G10+F10</f>
        <v>57344</v>
      </c>
      <c r="H11" s="4" t="str">
        <f aca="false">"10."&amp;(Info!$B$5+INT((G11)/65536))&amp;"."&amp;INT(MOD((G11),65536)/256)&amp;"."&amp;MOD((G11),256)</f>
        <v>10.16.224.0</v>
      </c>
      <c r="I11" s="4" t="str">
        <f aca="false">INDEX(Kebutuhan!$I$5:$I$24,MATCH($B11,Kebutuhan!$C$5:$C$24,0))</f>
        <v>255.255.248.0</v>
      </c>
      <c r="J11" s="4" t="str">
        <f aca="false">"10."&amp;(Info!$B$5+INT((G11+1)/65536))&amp;"."&amp;INT(MOD((G11+1),65536)/256)&amp;"."&amp;MOD((G11+1),256)&amp;" – "&amp;"10."&amp;(Info!$B$5+INT((G11+F11-2)/65536))&amp;"."&amp;INT(MOD((G11+F11-2),65536)/256)&amp;"."&amp;MOD((G11+F11-2),256)</f>
        <v>10.16.224.1 – 10.16.231.254</v>
      </c>
      <c r="K11" s="4" t="str">
        <f aca="false">"10."&amp;(Info!$B$5+INT((G11+F11-1)/65536))&amp;"."&amp;INT(MOD((G11+F11-1),65536)/256)&amp;"."&amp;MOD((G11+F11-1),256)</f>
        <v>10.16.231.255</v>
      </c>
      <c r="L11" s="4" t="str">
        <f aca="false">IF(INDEX(Kebutuhan!$D$5:$D$24,MATCH($B11,Kebutuhan!$C$5:$C$24,0))="Link","—","10."&amp;(Info!$B$5+INT((G11+1)/65536))&amp;"."&amp;INT(MOD((G11+1),65536)/256)&amp;"."&amp;MOD((G11+1),256))</f>
        <v>10.16.224.1</v>
      </c>
      <c r="M11" s="4" t="str">
        <f aca="false">IF(MOD(G11,F11)=0,"OK","TIDAK ALIGNED")</f>
        <v>OK</v>
      </c>
      <c r="N11" s="4" t="str">
        <f aca="false">IF(G11&gt;=G10+F10,"OK","OVERLAP")</f>
        <v>OK</v>
      </c>
    </row>
    <row r="12" customFormat="false" ht="15" hidden="false" customHeight="false" outlineLevel="0" collapsed="false">
      <c r="A12" s="4" t="n">
        <v>8</v>
      </c>
      <c r="B12" s="4" t="s">
        <v>60</v>
      </c>
      <c r="C12" s="4" t="str">
        <f aca="false">INDEX(Kebutuhan!$B$5:$B$24,MATCH($B12,Kebutuhan!$C$5:$C$24,0))</f>
        <v>R-TIMUR</v>
      </c>
      <c r="D12" s="9" t="n">
        <f aca="false">INDEX(Kebutuhan!$E$5:$E$24,MATCH($B12,Kebutuhan!$C$5:$C$24,0))</f>
        <v>700</v>
      </c>
      <c r="E12" s="4" t="n">
        <f aca="false">INDEX(Kebutuhan!$H$5:$H$24,MATCH($B12,Kebutuhan!$C$5:$C$24,0))</f>
        <v>22</v>
      </c>
      <c r="F12" s="9" t="n">
        <f aca="false">INDEX(Kebutuhan!$G$5:$G$24,MATCH($B12,Kebutuhan!$C$5:$C$24,0))</f>
        <v>1024</v>
      </c>
      <c r="G12" s="9" t="n">
        <f aca="false">G11+F11</f>
        <v>59392</v>
      </c>
      <c r="H12" s="4" t="str">
        <f aca="false">"10."&amp;(Info!$B$5+INT((G12)/65536))&amp;"."&amp;INT(MOD((G12),65536)/256)&amp;"."&amp;MOD((G12),256)</f>
        <v>10.16.232.0</v>
      </c>
      <c r="I12" s="4" t="str">
        <f aca="false">INDEX(Kebutuhan!$I$5:$I$24,MATCH($B12,Kebutuhan!$C$5:$C$24,0))</f>
        <v>255.255.252.0</v>
      </c>
      <c r="J12" s="4" t="str">
        <f aca="false">"10."&amp;(Info!$B$5+INT((G12+1)/65536))&amp;"."&amp;INT(MOD((G12+1),65536)/256)&amp;"."&amp;MOD((G12+1),256)&amp;" – "&amp;"10."&amp;(Info!$B$5+INT((G12+F12-2)/65536))&amp;"."&amp;INT(MOD((G12+F12-2),65536)/256)&amp;"."&amp;MOD((G12+F12-2),256)</f>
        <v>10.16.232.1 – 10.16.235.254</v>
      </c>
      <c r="K12" s="4" t="str">
        <f aca="false">"10."&amp;(Info!$B$5+INT((G12+F12-1)/65536))&amp;"."&amp;INT(MOD((G12+F12-1),65536)/256)&amp;"."&amp;MOD((G12+F12-1),256)</f>
        <v>10.16.235.255</v>
      </c>
      <c r="L12" s="4" t="str">
        <f aca="false">IF(INDEX(Kebutuhan!$D$5:$D$24,MATCH($B12,Kebutuhan!$C$5:$C$24,0))="Link","—","10."&amp;(Info!$B$5+INT((G12+1)/65536))&amp;"."&amp;INT(MOD((G12+1),65536)/256)&amp;"."&amp;MOD((G12+1),256))</f>
        <v>10.16.232.1</v>
      </c>
      <c r="M12" s="4" t="str">
        <f aca="false">IF(MOD(G12,F12)=0,"OK","TIDAK ALIGNED")</f>
        <v>OK</v>
      </c>
      <c r="N12" s="4" t="str">
        <f aca="false">IF(G12&gt;=G11+F11,"OK","OVERLAP")</f>
        <v>OK</v>
      </c>
    </row>
    <row r="13" customFormat="false" ht="15" hidden="false" customHeight="false" outlineLevel="0" collapsed="false">
      <c r="A13" s="4" t="n">
        <v>9</v>
      </c>
      <c r="B13" s="4" t="s">
        <v>51</v>
      </c>
      <c r="C13" s="4" t="str">
        <f aca="false">INDEX(Kebutuhan!$B$5:$B$24,MATCH($B13,Kebutuhan!$C$5:$C$24,0))</f>
        <v>R-UTARA</v>
      </c>
      <c r="D13" s="9" t="n">
        <f aca="false">INDEX(Kebutuhan!$E$5:$E$24,MATCH($B13,Kebutuhan!$C$5:$C$24,0))</f>
        <v>450</v>
      </c>
      <c r="E13" s="4" t="n">
        <f aca="false">INDEX(Kebutuhan!$H$5:$H$24,MATCH($B13,Kebutuhan!$C$5:$C$24,0))</f>
        <v>23</v>
      </c>
      <c r="F13" s="9" t="n">
        <f aca="false">INDEX(Kebutuhan!$G$5:$G$24,MATCH($B13,Kebutuhan!$C$5:$C$24,0))</f>
        <v>512</v>
      </c>
      <c r="G13" s="9" t="n">
        <f aca="false">G12+F12</f>
        <v>60416</v>
      </c>
      <c r="H13" s="4" t="str">
        <f aca="false">"10."&amp;(Info!$B$5+INT((G13)/65536))&amp;"."&amp;INT(MOD((G13),65536)/256)&amp;"."&amp;MOD((G13),256)</f>
        <v>10.16.236.0</v>
      </c>
      <c r="I13" s="4" t="str">
        <f aca="false">INDEX(Kebutuhan!$I$5:$I$24,MATCH($B13,Kebutuhan!$C$5:$C$24,0))</f>
        <v>255.255.254.0</v>
      </c>
      <c r="J13" s="4" t="str">
        <f aca="false">"10."&amp;(Info!$B$5+INT((G13+1)/65536))&amp;"."&amp;INT(MOD((G13+1),65536)/256)&amp;"."&amp;MOD((G13+1),256)&amp;" – "&amp;"10."&amp;(Info!$B$5+INT((G13+F13-2)/65536))&amp;"."&amp;INT(MOD((G13+F13-2),65536)/256)&amp;"."&amp;MOD((G13+F13-2),256)</f>
        <v>10.16.236.1 – 10.16.237.254</v>
      </c>
      <c r="K13" s="4" t="str">
        <f aca="false">"10."&amp;(Info!$B$5+INT((G13+F13-1)/65536))&amp;"."&amp;INT(MOD((G13+F13-1),65536)/256)&amp;"."&amp;MOD((G13+F13-1),256)</f>
        <v>10.16.237.255</v>
      </c>
      <c r="L13" s="4" t="str">
        <f aca="false">IF(INDEX(Kebutuhan!$D$5:$D$24,MATCH($B13,Kebutuhan!$C$5:$C$24,0))="Link","—","10."&amp;(Info!$B$5+INT((G13+1)/65536))&amp;"."&amp;INT(MOD((G13+1),65536)/256)&amp;"."&amp;MOD((G13+1),256))</f>
        <v>10.16.236.1</v>
      </c>
      <c r="M13" s="4" t="str">
        <f aca="false">IF(MOD(G13,F13)=0,"OK","TIDAK ALIGNED")</f>
        <v>OK</v>
      </c>
      <c r="N13" s="4" t="str">
        <f aca="false">IF(G13&gt;=G12+F12,"OK","OVERLAP")</f>
        <v>OK</v>
      </c>
    </row>
    <row r="14" customFormat="false" ht="15" hidden="false" customHeight="false" outlineLevel="0" collapsed="false">
      <c r="A14" s="4" t="n">
        <v>10</v>
      </c>
      <c r="B14" s="4" t="s">
        <v>63</v>
      </c>
      <c r="C14" s="4" t="str">
        <f aca="false">INDEX(Kebutuhan!$B$5:$B$24,MATCH($B14,Kebutuhan!$C$5:$C$24,0))</f>
        <v>R-BARAT</v>
      </c>
      <c r="D14" s="9" t="n">
        <f aca="false">INDEX(Kebutuhan!$E$5:$E$24,MATCH($B14,Kebutuhan!$C$5:$C$24,0))</f>
        <v>220</v>
      </c>
      <c r="E14" s="4" t="n">
        <f aca="false">INDEX(Kebutuhan!$H$5:$H$24,MATCH($B14,Kebutuhan!$C$5:$C$24,0))</f>
        <v>24</v>
      </c>
      <c r="F14" s="9" t="n">
        <f aca="false">INDEX(Kebutuhan!$G$5:$G$24,MATCH($B14,Kebutuhan!$C$5:$C$24,0))</f>
        <v>256</v>
      </c>
      <c r="G14" s="9" t="n">
        <f aca="false">G13+F13</f>
        <v>60928</v>
      </c>
      <c r="H14" s="4" t="str">
        <f aca="false">"10."&amp;(Info!$B$5+INT((G14)/65536))&amp;"."&amp;INT(MOD((G14),65536)/256)&amp;"."&amp;MOD((G14),256)</f>
        <v>10.16.238.0</v>
      </c>
      <c r="I14" s="4" t="str">
        <f aca="false">INDEX(Kebutuhan!$I$5:$I$24,MATCH($B14,Kebutuhan!$C$5:$C$24,0))</f>
        <v>255.255.255.0</v>
      </c>
      <c r="J14" s="4" t="str">
        <f aca="false">"10."&amp;(Info!$B$5+INT((G14+1)/65536))&amp;"."&amp;INT(MOD((G14+1),65536)/256)&amp;"."&amp;MOD((G14+1),256)&amp;" – "&amp;"10."&amp;(Info!$B$5+INT((G14+F14-2)/65536))&amp;"."&amp;INT(MOD((G14+F14-2),65536)/256)&amp;"."&amp;MOD((G14+F14-2),256)</f>
        <v>10.16.238.1 – 10.16.238.254</v>
      </c>
      <c r="K14" s="4" t="str">
        <f aca="false">"10."&amp;(Info!$B$5+INT((G14+F14-1)/65536))&amp;"."&amp;INT(MOD((G14+F14-1),65536)/256)&amp;"."&amp;MOD((G14+F14-1),256)</f>
        <v>10.16.238.255</v>
      </c>
      <c r="L14" s="4" t="str">
        <f aca="false">IF(INDEX(Kebutuhan!$D$5:$D$24,MATCH($B14,Kebutuhan!$C$5:$C$24,0))="Link","—","10."&amp;(Info!$B$5+INT((G14+1)/65536))&amp;"."&amp;INT(MOD((G14+1),65536)/256)&amp;"."&amp;MOD((G14+1),256))</f>
        <v>10.16.238.1</v>
      </c>
      <c r="M14" s="4" t="str">
        <f aca="false">IF(MOD(G14,F14)=0,"OK","TIDAK ALIGNED")</f>
        <v>OK</v>
      </c>
      <c r="N14" s="4" t="str">
        <f aca="false">IF(G14&gt;=G13+F13,"OK","OVERLAP")</f>
        <v>OK</v>
      </c>
    </row>
    <row r="15" customFormat="false" ht="15" hidden="false" customHeight="false" outlineLevel="0" collapsed="false">
      <c r="A15" s="4" t="n">
        <v>11</v>
      </c>
      <c r="B15" s="4" t="s">
        <v>48</v>
      </c>
      <c r="C15" s="4" t="str">
        <f aca="false">INDEX(Kebutuhan!$B$5:$B$24,MATCH($B15,Kebutuhan!$C$5:$C$24,0))</f>
        <v>R-DC</v>
      </c>
      <c r="D15" s="9" t="n">
        <f aca="false">INDEX(Kebutuhan!$E$5:$E$24,MATCH($B15,Kebutuhan!$C$5:$C$24,0))</f>
        <v>180</v>
      </c>
      <c r="E15" s="4" t="n">
        <f aca="false">INDEX(Kebutuhan!$H$5:$H$24,MATCH($B15,Kebutuhan!$C$5:$C$24,0))</f>
        <v>24</v>
      </c>
      <c r="F15" s="9" t="n">
        <f aca="false">INDEX(Kebutuhan!$G$5:$G$24,MATCH($B15,Kebutuhan!$C$5:$C$24,0))</f>
        <v>256</v>
      </c>
      <c r="G15" s="9" t="n">
        <f aca="false">G14+F14</f>
        <v>61184</v>
      </c>
      <c r="H15" s="4" t="str">
        <f aca="false">"10."&amp;(Info!$B$5+INT((G15)/65536))&amp;"."&amp;INT(MOD((G15),65536)/256)&amp;"."&amp;MOD((G15),256)</f>
        <v>10.16.239.0</v>
      </c>
      <c r="I15" s="4" t="str">
        <f aca="false">INDEX(Kebutuhan!$I$5:$I$24,MATCH($B15,Kebutuhan!$C$5:$C$24,0))</f>
        <v>255.255.255.0</v>
      </c>
      <c r="J15" s="4" t="str">
        <f aca="false">"10."&amp;(Info!$B$5+INT((G15+1)/65536))&amp;"."&amp;INT(MOD((G15+1),65536)/256)&amp;"."&amp;MOD((G15+1),256)&amp;" – "&amp;"10."&amp;(Info!$B$5+INT((G15+F15-2)/65536))&amp;"."&amp;INT(MOD((G15+F15-2),65536)/256)&amp;"."&amp;MOD((G15+F15-2),256)</f>
        <v>10.16.239.1 – 10.16.239.254</v>
      </c>
      <c r="K15" s="4" t="str">
        <f aca="false">"10."&amp;(Info!$B$5+INT((G15+F15-1)/65536))&amp;"."&amp;INT(MOD((G15+F15-1),65536)/256)&amp;"."&amp;MOD((G15+F15-1),256)</f>
        <v>10.16.239.255</v>
      </c>
      <c r="L15" s="4" t="str">
        <f aca="false">IF(INDEX(Kebutuhan!$D$5:$D$24,MATCH($B15,Kebutuhan!$C$5:$C$24,0))="Link","—","10."&amp;(Info!$B$5+INT((G15+1)/65536))&amp;"."&amp;INT(MOD((G15+1),65536)/256)&amp;"."&amp;MOD((G15+1),256))</f>
        <v>10.16.239.1</v>
      </c>
      <c r="M15" s="4" t="str">
        <f aca="false">IF(MOD(G15,F15)=0,"OK","TIDAK ALIGNED")</f>
        <v>OK</v>
      </c>
      <c r="N15" s="4" t="str">
        <f aca="false">IF(G15&gt;=G14+F14,"OK","OVERLAP")</f>
        <v>OK</v>
      </c>
    </row>
    <row r="16" customFormat="false" ht="15" hidden="false" customHeight="false" outlineLevel="0" collapsed="false">
      <c r="A16" s="4" t="n">
        <v>12</v>
      </c>
      <c r="B16" s="4" t="s">
        <v>54</v>
      </c>
      <c r="C16" s="4" t="str">
        <f aca="false">INDEX(Kebutuhan!$B$5:$B$24,MATCH($B16,Kebutuhan!$C$5:$C$24,0))</f>
        <v>R-PELABUHAN</v>
      </c>
      <c r="D16" s="9" t="n">
        <f aca="false">INDEX(Kebutuhan!$E$5:$E$24,MATCH($B16,Kebutuhan!$C$5:$C$24,0))</f>
        <v>120</v>
      </c>
      <c r="E16" s="4" t="n">
        <f aca="false">INDEX(Kebutuhan!$H$5:$H$24,MATCH($B16,Kebutuhan!$C$5:$C$24,0))</f>
        <v>25</v>
      </c>
      <c r="F16" s="9" t="n">
        <f aca="false">INDEX(Kebutuhan!$G$5:$G$24,MATCH($B16,Kebutuhan!$C$5:$C$24,0))</f>
        <v>128</v>
      </c>
      <c r="G16" s="9" t="n">
        <f aca="false">G15+F15</f>
        <v>61440</v>
      </c>
      <c r="H16" s="4" t="str">
        <f aca="false">"10."&amp;(Info!$B$5+INT((G16)/65536))&amp;"."&amp;INT(MOD((G16),65536)/256)&amp;"."&amp;MOD((G16),256)</f>
        <v>10.16.240.0</v>
      </c>
      <c r="I16" s="4" t="str">
        <f aca="false">INDEX(Kebutuhan!$I$5:$I$24,MATCH($B16,Kebutuhan!$C$5:$C$24,0))</f>
        <v>255.255.255.128</v>
      </c>
      <c r="J16" s="4" t="str">
        <f aca="false">"10."&amp;(Info!$B$5+INT((G16+1)/65536))&amp;"."&amp;INT(MOD((G16+1),65536)/256)&amp;"."&amp;MOD((G16+1),256)&amp;" – "&amp;"10."&amp;(Info!$B$5+INT((G16+F16-2)/65536))&amp;"."&amp;INT(MOD((G16+F16-2),65536)/256)&amp;"."&amp;MOD((G16+F16-2),256)</f>
        <v>10.16.240.1 – 10.16.240.126</v>
      </c>
      <c r="K16" s="4" t="str">
        <f aca="false">"10."&amp;(Info!$B$5+INT((G16+F16-1)/65536))&amp;"."&amp;INT(MOD((G16+F16-1),65536)/256)&amp;"."&amp;MOD((G16+F16-1),256)</f>
        <v>10.16.240.127</v>
      </c>
      <c r="L16" s="4" t="str">
        <f aca="false">IF(INDEX(Kebutuhan!$D$5:$D$24,MATCH($B16,Kebutuhan!$C$5:$C$24,0))="Link","—","10."&amp;(Info!$B$5+INT((G16+1)/65536))&amp;"."&amp;INT(MOD((G16+1),65536)/256)&amp;"."&amp;MOD((G16+1),256))</f>
        <v>10.16.240.1</v>
      </c>
      <c r="M16" s="4" t="str">
        <f aca="false">IF(MOD(G16,F16)=0,"OK","TIDAK ALIGNED")</f>
        <v>OK</v>
      </c>
      <c r="N16" s="4" t="str">
        <f aca="false">IF(G16&gt;=G15+F15,"OK","OVERLAP")</f>
        <v>OK</v>
      </c>
    </row>
    <row r="17" customFormat="false" ht="15" hidden="false" customHeight="false" outlineLevel="0" collapsed="false">
      <c r="A17" s="4" t="n">
        <v>13</v>
      </c>
      <c r="B17" s="4" t="s">
        <v>57</v>
      </c>
      <c r="C17" s="4" t="str">
        <f aca="false">INDEX(Kebutuhan!$B$5:$B$24,MATCH($B17,Kebutuhan!$C$5:$C$24,0))</f>
        <v>R-SELATAN</v>
      </c>
      <c r="D17" s="9" t="n">
        <f aca="false">INDEX(Kebutuhan!$E$5:$E$24,MATCH($B17,Kebutuhan!$C$5:$C$24,0))</f>
        <v>90</v>
      </c>
      <c r="E17" s="4" t="n">
        <f aca="false">INDEX(Kebutuhan!$H$5:$H$24,MATCH($B17,Kebutuhan!$C$5:$C$24,0))</f>
        <v>25</v>
      </c>
      <c r="F17" s="9" t="n">
        <f aca="false">INDEX(Kebutuhan!$G$5:$G$24,MATCH($B17,Kebutuhan!$C$5:$C$24,0))</f>
        <v>128</v>
      </c>
      <c r="G17" s="9" t="n">
        <f aca="false">G16+F16</f>
        <v>61568</v>
      </c>
      <c r="H17" s="4" t="str">
        <f aca="false">"10."&amp;(Info!$B$5+INT((G17)/65536))&amp;"."&amp;INT(MOD((G17),65536)/256)&amp;"."&amp;MOD((G17),256)</f>
        <v>10.16.240.128</v>
      </c>
      <c r="I17" s="4" t="str">
        <f aca="false">INDEX(Kebutuhan!$I$5:$I$24,MATCH($B17,Kebutuhan!$C$5:$C$24,0))</f>
        <v>255.255.255.128</v>
      </c>
      <c r="J17" s="4" t="str">
        <f aca="false">"10."&amp;(Info!$B$5+INT((G17+1)/65536))&amp;"."&amp;INT(MOD((G17+1),65536)/256)&amp;"."&amp;MOD((G17+1),256)&amp;" – "&amp;"10."&amp;(Info!$B$5+INT((G17+F17-2)/65536))&amp;"."&amp;INT(MOD((G17+F17-2),65536)/256)&amp;"."&amp;MOD((G17+F17-2),256)</f>
        <v>10.16.240.129 – 10.16.240.254</v>
      </c>
      <c r="K17" s="4" t="str">
        <f aca="false">"10."&amp;(Info!$B$5+INT((G17+F17-1)/65536))&amp;"."&amp;INT(MOD((G17+F17-1),65536)/256)&amp;"."&amp;MOD((G17+F17-1),256)</f>
        <v>10.16.240.255</v>
      </c>
      <c r="L17" s="4" t="str">
        <f aca="false">IF(INDEX(Kebutuhan!$D$5:$D$24,MATCH($B17,Kebutuhan!$C$5:$C$24,0))="Link","—","10."&amp;(Info!$B$5+INT((G17+1)/65536))&amp;"."&amp;INT(MOD((G17+1),65536)/256)&amp;"."&amp;MOD((G17+1),256))</f>
        <v>10.16.240.129</v>
      </c>
      <c r="M17" s="4" t="str">
        <f aca="false">IF(MOD(G17,F17)=0,"OK","TIDAK ALIGNED")</f>
        <v>OK</v>
      </c>
      <c r="N17" s="4" t="str">
        <f aca="false">IF(G17&gt;=G16+F16,"OK","OVERLAP")</f>
        <v>OK</v>
      </c>
    </row>
    <row r="18" customFormat="false" ht="15" hidden="false" customHeight="false" outlineLevel="0" collapsed="false">
      <c r="A18" s="4" t="n">
        <v>14</v>
      </c>
      <c r="B18" s="4" t="s">
        <v>45</v>
      </c>
      <c r="C18" s="4" t="str">
        <f aca="false">INDEX(Kebutuhan!$B$5:$B$24,MATCH($B18,Kebutuhan!$C$5:$C$24,0))</f>
        <v>R-PUSAT</v>
      </c>
      <c r="D18" s="9" t="n">
        <f aca="false">INDEX(Kebutuhan!$E$5:$E$24,MATCH($B18,Kebutuhan!$C$5:$C$24,0))</f>
        <v>20</v>
      </c>
      <c r="E18" s="4" t="n">
        <f aca="false">INDEX(Kebutuhan!$H$5:$H$24,MATCH($B18,Kebutuhan!$C$5:$C$24,0))</f>
        <v>27</v>
      </c>
      <c r="F18" s="9" t="n">
        <f aca="false">INDEX(Kebutuhan!$G$5:$G$24,MATCH($B18,Kebutuhan!$C$5:$C$24,0))</f>
        <v>32</v>
      </c>
      <c r="G18" s="9" t="n">
        <f aca="false">G17+F17</f>
        <v>61696</v>
      </c>
      <c r="H18" s="4" t="str">
        <f aca="false">"10."&amp;(Info!$B$5+INT((G18)/65536))&amp;"."&amp;INT(MOD((G18),65536)/256)&amp;"."&amp;MOD((G18),256)</f>
        <v>10.16.241.0</v>
      </c>
      <c r="I18" s="4" t="str">
        <f aca="false">INDEX(Kebutuhan!$I$5:$I$24,MATCH($B18,Kebutuhan!$C$5:$C$24,0))</f>
        <v>255.255.255.224</v>
      </c>
      <c r="J18" s="4" t="str">
        <f aca="false">"10."&amp;(Info!$B$5+INT((G18+1)/65536))&amp;"."&amp;INT(MOD((G18+1),65536)/256)&amp;"."&amp;MOD((G18+1),256)&amp;" – "&amp;"10."&amp;(Info!$B$5+INT((G18+F18-2)/65536))&amp;"."&amp;INT(MOD((G18+F18-2),65536)/256)&amp;"."&amp;MOD((G18+F18-2),256)</f>
        <v>10.16.241.1 – 10.16.241.30</v>
      </c>
      <c r="K18" s="4" t="str">
        <f aca="false">"10."&amp;(Info!$B$5+INT((G18+F18-1)/65536))&amp;"."&amp;INT(MOD((G18+F18-1),65536)/256)&amp;"."&amp;MOD((G18+F18-1),256)</f>
        <v>10.16.241.31</v>
      </c>
      <c r="L18" s="4" t="str">
        <f aca="false">IF(INDEX(Kebutuhan!$D$5:$D$24,MATCH($B18,Kebutuhan!$C$5:$C$24,0))="Link","—","10."&amp;(Info!$B$5+INT((G18+1)/65536))&amp;"."&amp;INT(MOD((G18+1),65536)/256)&amp;"."&amp;MOD((G18+1),256))</f>
        <v>10.16.241.1</v>
      </c>
      <c r="M18" s="4" t="str">
        <f aca="false">IF(MOD(G18,F18)=0,"OK","TIDAK ALIGNED")</f>
        <v>OK</v>
      </c>
      <c r="N18" s="4" t="str">
        <f aca="false">IF(G18&gt;=G17+F17,"OK","OVERLAP")</f>
        <v>OK</v>
      </c>
    </row>
    <row r="19" customFormat="false" ht="15" hidden="false" customHeight="false" outlineLevel="0" collapsed="false">
      <c r="A19" s="4" t="n">
        <v>15</v>
      </c>
      <c r="B19" s="4" t="s">
        <v>65</v>
      </c>
      <c r="C19" s="4" t="str">
        <f aca="false">INDEX(Kebutuhan!$B$5:$B$24,MATCH($B19,Kebutuhan!$C$5:$C$24,0))</f>
        <v>R-PUSAT – R-DC</v>
      </c>
      <c r="D19" s="9" t="n">
        <f aca="false">INDEX(Kebutuhan!$E$5:$E$24,MATCH($B19,Kebutuhan!$C$5:$C$24,0))</f>
        <v>2</v>
      </c>
      <c r="E19" s="4" t="n">
        <f aca="false">INDEX(Kebutuhan!$H$5:$H$24,MATCH($B19,Kebutuhan!$C$5:$C$24,0))</f>
        <v>30</v>
      </c>
      <c r="F19" s="9" t="n">
        <f aca="false">INDEX(Kebutuhan!$G$5:$G$24,MATCH($B19,Kebutuhan!$C$5:$C$24,0))</f>
        <v>4</v>
      </c>
      <c r="G19" s="9" t="n">
        <f aca="false">G18+F18</f>
        <v>61728</v>
      </c>
      <c r="H19" s="4" t="str">
        <f aca="false">"10."&amp;(Info!$B$5+INT((G19)/65536))&amp;"."&amp;INT(MOD((G19),65536)/256)&amp;"."&amp;MOD((G19),256)</f>
        <v>10.16.241.32</v>
      </c>
      <c r="I19" s="4" t="str">
        <f aca="false">INDEX(Kebutuhan!$I$5:$I$24,MATCH($B19,Kebutuhan!$C$5:$C$24,0))</f>
        <v>255.255.255.252</v>
      </c>
      <c r="J19" s="4" t="str">
        <f aca="false">"10."&amp;(Info!$B$5+INT((G19+1)/65536))&amp;"."&amp;INT(MOD((G19+1),65536)/256)&amp;"."&amp;MOD((G19+1),256)&amp;" – "&amp;"10."&amp;(Info!$B$5+INT((G19+F19-2)/65536))&amp;"."&amp;INT(MOD((G19+F19-2),65536)/256)&amp;"."&amp;MOD((G19+F19-2),256)</f>
        <v>10.16.241.33 – 10.16.241.34</v>
      </c>
      <c r="K19" s="4" t="str">
        <f aca="false">"10."&amp;(Info!$B$5+INT((G19+F19-1)/65536))&amp;"."&amp;INT(MOD((G19+F19-1),65536)/256)&amp;"."&amp;MOD((G19+F19-1),256)</f>
        <v>10.16.241.35</v>
      </c>
      <c r="L19" s="4" t="str">
        <f aca="false">IF(INDEX(Kebutuhan!$D$5:$D$24,MATCH($B19,Kebutuhan!$C$5:$C$24,0))="Link","—","10."&amp;(Info!$B$5+INT((G19+1)/65536))&amp;"."&amp;INT(MOD((G19+1),65536)/256)&amp;"."&amp;MOD((G19+1),256))</f>
        <v>—</v>
      </c>
      <c r="M19" s="4" t="str">
        <f aca="false">IF(MOD(G19,F19)=0,"OK","TIDAK ALIGNED")</f>
        <v>OK</v>
      </c>
      <c r="N19" s="4" t="str">
        <f aca="false">IF(G19&gt;=G18+F18,"OK","OVERLAP")</f>
        <v>OK</v>
      </c>
    </row>
    <row r="20" customFormat="false" ht="15" hidden="false" customHeight="false" outlineLevel="0" collapsed="false">
      <c r="A20" s="4" t="n">
        <v>16</v>
      </c>
      <c r="B20" s="4" t="s">
        <v>74</v>
      </c>
      <c r="C20" s="4" t="str">
        <f aca="false">INDEX(Kebutuhan!$B$5:$B$24,MATCH($B20,Kebutuhan!$C$5:$C$24,0))</f>
        <v>R-PUSAT – R-BARAT</v>
      </c>
      <c r="D20" s="9" t="n">
        <f aca="false">INDEX(Kebutuhan!$E$5:$E$24,MATCH($B20,Kebutuhan!$C$5:$C$24,0))</f>
        <v>2</v>
      </c>
      <c r="E20" s="4" t="n">
        <f aca="false">INDEX(Kebutuhan!$H$5:$H$24,MATCH($B20,Kebutuhan!$C$5:$C$24,0))</f>
        <v>30</v>
      </c>
      <c r="F20" s="9" t="n">
        <f aca="false">INDEX(Kebutuhan!$G$5:$G$24,MATCH($B20,Kebutuhan!$C$5:$C$24,0))</f>
        <v>4</v>
      </c>
      <c r="G20" s="9" t="n">
        <f aca="false">G19+F19</f>
        <v>61732</v>
      </c>
      <c r="H20" s="4" t="str">
        <f aca="false">"10."&amp;(Info!$B$5+INT((G20)/65536))&amp;"."&amp;INT(MOD((G20),65536)/256)&amp;"."&amp;MOD((G20),256)</f>
        <v>10.16.241.36</v>
      </c>
      <c r="I20" s="4" t="str">
        <f aca="false">INDEX(Kebutuhan!$I$5:$I$24,MATCH($B20,Kebutuhan!$C$5:$C$24,0))</f>
        <v>255.255.255.252</v>
      </c>
      <c r="J20" s="4" t="str">
        <f aca="false">"10."&amp;(Info!$B$5+INT((G20+1)/65536))&amp;"."&amp;INT(MOD((G20+1),65536)/256)&amp;"."&amp;MOD((G20+1),256)&amp;" – "&amp;"10."&amp;(Info!$B$5+INT((G20+F20-2)/65536))&amp;"."&amp;INT(MOD((G20+F20-2),65536)/256)&amp;"."&amp;MOD((G20+F20-2),256)</f>
        <v>10.16.241.37 – 10.16.241.38</v>
      </c>
      <c r="K20" s="4" t="str">
        <f aca="false">"10."&amp;(Info!$B$5+INT((G20+F20-1)/65536))&amp;"."&amp;INT(MOD((G20+F20-1),65536)/256)&amp;"."&amp;MOD((G20+F20-1),256)</f>
        <v>10.16.241.39</v>
      </c>
      <c r="L20" s="4" t="str">
        <f aca="false">IF(INDEX(Kebutuhan!$D$5:$D$24,MATCH($B20,Kebutuhan!$C$5:$C$24,0))="Link","—","10."&amp;(Info!$B$5+INT((G20+1)/65536))&amp;"."&amp;INT(MOD((G20+1),65536)/256)&amp;"."&amp;MOD((G20+1),256))</f>
        <v>—</v>
      </c>
      <c r="M20" s="4" t="str">
        <f aca="false">IF(MOD(G20,F20)=0,"OK","TIDAK ALIGNED")</f>
        <v>OK</v>
      </c>
      <c r="N20" s="4" t="str">
        <f aca="false">IF(G20&gt;=G19+F19,"OK","OVERLAP")</f>
        <v>OK</v>
      </c>
    </row>
    <row r="21" customFormat="false" ht="15" hidden="false" customHeight="false" outlineLevel="0" collapsed="false">
      <c r="A21" s="4" t="n">
        <v>17</v>
      </c>
      <c r="B21" s="4" t="s">
        <v>68</v>
      </c>
      <c r="C21" s="4" t="str">
        <f aca="false">INDEX(Kebutuhan!$B$5:$B$24,MATCH($B21,Kebutuhan!$C$5:$C$24,0))</f>
        <v>R-PUSAT – R-UTARA</v>
      </c>
      <c r="D21" s="9" t="n">
        <f aca="false">INDEX(Kebutuhan!$E$5:$E$24,MATCH($B21,Kebutuhan!$C$5:$C$24,0))</f>
        <v>2</v>
      </c>
      <c r="E21" s="4" t="n">
        <f aca="false">INDEX(Kebutuhan!$H$5:$H$24,MATCH($B21,Kebutuhan!$C$5:$C$24,0))</f>
        <v>30</v>
      </c>
      <c r="F21" s="9" t="n">
        <f aca="false">INDEX(Kebutuhan!$G$5:$G$24,MATCH($B21,Kebutuhan!$C$5:$C$24,0))</f>
        <v>4</v>
      </c>
      <c r="G21" s="9" t="n">
        <f aca="false">G20+F20</f>
        <v>61736</v>
      </c>
      <c r="H21" s="4" t="str">
        <f aca="false">"10."&amp;(Info!$B$5+INT((G21)/65536))&amp;"."&amp;INT(MOD((G21),65536)/256)&amp;"."&amp;MOD((G21),256)</f>
        <v>10.16.241.40</v>
      </c>
      <c r="I21" s="4" t="str">
        <f aca="false">INDEX(Kebutuhan!$I$5:$I$24,MATCH($B21,Kebutuhan!$C$5:$C$24,0))</f>
        <v>255.255.255.252</v>
      </c>
      <c r="J21" s="4" t="str">
        <f aca="false">"10."&amp;(Info!$B$5+INT((G21+1)/65536))&amp;"."&amp;INT(MOD((G21+1),65536)/256)&amp;"."&amp;MOD((G21+1),256)&amp;" – "&amp;"10."&amp;(Info!$B$5+INT((G21+F21-2)/65536))&amp;"."&amp;INT(MOD((G21+F21-2),65536)/256)&amp;"."&amp;MOD((G21+F21-2),256)</f>
        <v>10.16.241.41 – 10.16.241.42</v>
      </c>
      <c r="K21" s="4" t="str">
        <f aca="false">"10."&amp;(Info!$B$5+INT((G21+F21-1)/65536))&amp;"."&amp;INT(MOD((G21+F21-1),65536)/256)&amp;"."&amp;MOD((G21+F21-1),256)</f>
        <v>10.16.241.43</v>
      </c>
      <c r="L21" s="4" t="str">
        <f aca="false">IF(INDEX(Kebutuhan!$D$5:$D$24,MATCH($B21,Kebutuhan!$C$5:$C$24,0))="Link","—","10."&amp;(Info!$B$5+INT((G21+1)/65536))&amp;"."&amp;INT(MOD((G21+1),65536)/256)&amp;"."&amp;MOD((G21+1),256))</f>
        <v>—</v>
      </c>
      <c r="M21" s="4" t="str">
        <f aca="false">IF(MOD(G21,F21)=0,"OK","TIDAK ALIGNED")</f>
        <v>OK</v>
      </c>
      <c r="N21" s="4" t="str">
        <f aca="false">IF(G21&gt;=G20+F20,"OK","OVERLAP")</f>
        <v>OK</v>
      </c>
    </row>
    <row r="22" customFormat="false" ht="15" hidden="false" customHeight="false" outlineLevel="0" collapsed="false">
      <c r="A22" s="4" t="n">
        <v>18</v>
      </c>
      <c r="B22" s="4" t="s">
        <v>72</v>
      </c>
      <c r="C22" s="4" t="str">
        <f aca="false">INDEX(Kebutuhan!$B$5:$B$24,MATCH($B22,Kebutuhan!$C$5:$C$24,0))</f>
        <v>R-PUSAT – R-TIMUR</v>
      </c>
      <c r="D22" s="9" t="n">
        <f aca="false">INDEX(Kebutuhan!$E$5:$E$24,MATCH($B22,Kebutuhan!$C$5:$C$24,0))</f>
        <v>2</v>
      </c>
      <c r="E22" s="4" t="n">
        <f aca="false">INDEX(Kebutuhan!$H$5:$H$24,MATCH($B22,Kebutuhan!$C$5:$C$24,0))</f>
        <v>30</v>
      </c>
      <c r="F22" s="9" t="n">
        <f aca="false">INDEX(Kebutuhan!$G$5:$G$24,MATCH($B22,Kebutuhan!$C$5:$C$24,0))</f>
        <v>4</v>
      </c>
      <c r="G22" s="9" t="n">
        <f aca="false">G21+F21</f>
        <v>61740</v>
      </c>
      <c r="H22" s="4" t="str">
        <f aca="false">"10."&amp;(Info!$B$5+INT((G22)/65536))&amp;"."&amp;INT(MOD((G22),65536)/256)&amp;"."&amp;MOD((G22),256)</f>
        <v>10.16.241.44</v>
      </c>
      <c r="I22" s="4" t="str">
        <f aca="false">INDEX(Kebutuhan!$I$5:$I$24,MATCH($B22,Kebutuhan!$C$5:$C$24,0))</f>
        <v>255.255.255.252</v>
      </c>
      <c r="J22" s="4" t="str">
        <f aca="false">"10."&amp;(Info!$B$5+INT((G22+1)/65536))&amp;"."&amp;INT(MOD((G22+1),65536)/256)&amp;"."&amp;MOD((G22+1),256)&amp;" – "&amp;"10."&amp;(Info!$B$5+INT((G22+F22-2)/65536))&amp;"."&amp;INT(MOD((G22+F22-2),65536)/256)&amp;"."&amp;MOD((G22+F22-2),256)</f>
        <v>10.16.241.45 – 10.16.241.46</v>
      </c>
      <c r="K22" s="4" t="str">
        <f aca="false">"10."&amp;(Info!$B$5+INT((G22+F22-1)/65536))&amp;"."&amp;INT(MOD((G22+F22-1),65536)/256)&amp;"."&amp;MOD((G22+F22-1),256)</f>
        <v>10.16.241.47</v>
      </c>
      <c r="L22" s="4" t="str">
        <f aca="false">IF(INDEX(Kebutuhan!$D$5:$D$24,MATCH($B22,Kebutuhan!$C$5:$C$24,0))="Link","—","10."&amp;(Info!$B$5+INT((G22+1)/65536))&amp;"."&amp;INT(MOD((G22+1),65536)/256)&amp;"."&amp;MOD((G22+1),256))</f>
        <v>—</v>
      </c>
      <c r="M22" s="4" t="str">
        <f aca="false">IF(MOD(G22,F22)=0,"OK","TIDAK ALIGNED")</f>
        <v>OK</v>
      </c>
      <c r="N22" s="4" t="str">
        <f aca="false">IF(G22&gt;=G21+F21,"OK","OVERLAP")</f>
        <v>OK</v>
      </c>
    </row>
    <row r="23" customFormat="false" ht="15" hidden="false" customHeight="false" outlineLevel="0" collapsed="false">
      <c r="A23" s="4" t="n">
        <v>19</v>
      </c>
      <c r="B23" s="4" t="s">
        <v>70</v>
      </c>
      <c r="C23" s="4" t="str">
        <f aca="false">INDEX(Kebutuhan!$B$5:$B$24,MATCH($B23,Kebutuhan!$C$5:$C$24,0))</f>
        <v>R-PUSAT – R-SELATAN</v>
      </c>
      <c r="D23" s="9" t="n">
        <f aca="false">INDEX(Kebutuhan!$E$5:$E$24,MATCH($B23,Kebutuhan!$C$5:$C$24,0))</f>
        <v>2</v>
      </c>
      <c r="E23" s="4" t="n">
        <f aca="false">INDEX(Kebutuhan!$H$5:$H$24,MATCH($B23,Kebutuhan!$C$5:$C$24,0))</f>
        <v>30</v>
      </c>
      <c r="F23" s="9" t="n">
        <f aca="false">INDEX(Kebutuhan!$G$5:$G$24,MATCH($B23,Kebutuhan!$C$5:$C$24,0))</f>
        <v>4</v>
      </c>
      <c r="G23" s="9" t="n">
        <f aca="false">G22+F22</f>
        <v>61744</v>
      </c>
      <c r="H23" s="4" t="str">
        <f aca="false">"10."&amp;(Info!$B$5+INT((G23)/65536))&amp;"."&amp;INT(MOD((G23),65536)/256)&amp;"."&amp;MOD((G23),256)</f>
        <v>10.16.241.48</v>
      </c>
      <c r="I23" s="4" t="str">
        <f aca="false">INDEX(Kebutuhan!$I$5:$I$24,MATCH($B23,Kebutuhan!$C$5:$C$24,0))</f>
        <v>255.255.255.252</v>
      </c>
      <c r="J23" s="4" t="str">
        <f aca="false">"10."&amp;(Info!$B$5+INT((G23+1)/65536))&amp;"."&amp;INT(MOD((G23+1),65536)/256)&amp;"."&amp;MOD((G23+1),256)&amp;" – "&amp;"10."&amp;(Info!$B$5+INT((G23+F23-2)/65536))&amp;"."&amp;INT(MOD((G23+F23-2),65536)/256)&amp;"."&amp;MOD((G23+F23-2),256)</f>
        <v>10.16.241.49 – 10.16.241.50</v>
      </c>
      <c r="K23" s="4" t="str">
        <f aca="false">"10."&amp;(Info!$B$5+INT((G23+F23-1)/65536))&amp;"."&amp;INT(MOD((G23+F23-1),65536)/256)&amp;"."&amp;MOD((G23+F23-1),256)</f>
        <v>10.16.241.51</v>
      </c>
      <c r="L23" s="4" t="str">
        <f aca="false">IF(INDEX(Kebutuhan!$D$5:$D$24,MATCH($B23,Kebutuhan!$C$5:$C$24,0))="Link","—","10."&amp;(Info!$B$5+INT((G23+1)/65536))&amp;"."&amp;INT(MOD((G23+1),65536)/256)&amp;"."&amp;MOD((G23+1),256))</f>
        <v>—</v>
      </c>
      <c r="M23" s="4" t="str">
        <f aca="false">IF(MOD(G23,F23)=0,"OK","TIDAK ALIGNED")</f>
        <v>OK</v>
      </c>
      <c r="N23" s="4" t="str">
        <f aca="false">IF(G23&gt;=G22+F22,"OK","OVERLAP")</f>
        <v>OK</v>
      </c>
    </row>
    <row r="24" customFormat="false" ht="15" hidden="false" customHeight="false" outlineLevel="0" collapsed="false">
      <c r="A24" s="4" t="n">
        <v>20</v>
      </c>
      <c r="B24" s="4" t="s">
        <v>76</v>
      </c>
      <c r="C24" s="4" t="str">
        <f aca="false">INDEX(Kebutuhan!$B$5:$B$24,MATCH($B24,Kebutuhan!$C$5:$C$24,0))</f>
        <v>R-UTARA – R-PELABUHAN</v>
      </c>
      <c r="D24" s="9" t="n">
        <f aca="false">INDEX(Kebutuhan!$E$5:$E$24,MATCH($B24,Kebutuhan!$C$5:$C$24,0))</f>
        <v>2</v>
      </c>
      <c r="E24" s="4" t="n">
        <f aca="false">INDEX(Kebutuhan!$H$5:$H$24,MATCH($B24,Kebutuhan!$C$5:$C$24,0))</f>
        <v>30</v>
      </c>
      <c r="F24" s="9" t="n">
        <f aca="false">INDEX(Kebutuhan!$G$5:$G$24,MATCH($B24,Kebutuhan!$C$5:$C$24,0))</f>
        <v>4</v>
      </c>
      <c r="G24" s="9" t="n">
        <f aca="false">G23+F23</f>
        <v>61748</v>
      </c>
      <c r="H24" s="4" t="str">
        <f aca="false">"10."&amp;(Info!$B$5+INT((G24)/65536))&amp;"."&amp;INT(MOD((G24),65536)/256)&amp;"."&amp;MOD((G24),256)</f>
        <v>10.16.241.52</v>
      </c>
      <c r="I24" s="4" t="str">
        <f aca="false">INDEX(Kebutuhan!$I$5:$I$24,MATCH($B24,Kebutuhan!$C$5:$C$24,0))</f>
        <v>255.255.255.252</v>
      </c>
      <c r="J24" s="4" t="str">
        <f aca="false">"10."&amp;(Info!$B$5+INT((G24+1)/65536))&amp;"."&amp;INT(MOD((G24+1),65536)/256)&amp;"."&amp;MOD((G24+1),256)&amp;" – "&amp;"10."&amp;(Info!$B$5+INT((G24+F24-2)/65536))&amp;"."&amp;INT(MOD((G24+F24-2),65536)/256)&amp;"."&amp;MOD((G24+F24-2),256)</f>
        <v>10.16.241.53 – 10.16.241.54</v>
      </c>
      <c r="K24" s="4" t="str">
        <f aca="false">"10."&amp;(Info!$B$5+INT((G24+F24-1)/65536))&amp;"."&amp;INT(MOD((G24+F24-1),65536)/256)&amp;"."&amp;MOD((G24+F24-1),256)</f>
        <v>10.16.241.55</v>
      </c>
      <c r="L24" s="4" t="str">
        <f aca="false">IF(INDEX(Kebutuhan!$D$5:$D$24,MATCH($B24,Kebutuhan!$C$5:$C$24,0))="Link","—","10."&amp;(Info!$B$5+INT((G24+1)/65536))&amp;"."&amp;INT(MOD((G24+1),65536)/256)&amp;"."&amp;MOD((G24+1),256))</f>
        <v>—</v>
      </c>
      <c r="M24" s="4" t="str">
        <f aca="false">IF(MOD(G24,F24)=0,"OK","TIDAK ALIGNED")</f>
        <v>OK</v>
      </c>
      <c r="N24" s="4" t="str">
        <f aca="false">IF(G24&gt;=G23+F23,"OK","OVERLAP")</f>
        <v>OK</v>
      </c>
    </row>
    <row r="26" customFormat="false" ht="15" hidden="false" customHeight="false" outlineLevel="0" collapsed="false">
      <c r="A26" s="12" t="s">
        <v>89</v>
      </c>
      <c r="B26" s="13" t="n">
        <f aca="false">SUM(F5:F24)</f>
        <v>61752</v>
      </c>
    </row>
    <row r="27" customFormat="false" ht="15" hidden="false" customHeight="false" outlineLevel="0" collapsed="false">
      <c r="A27" s="12" t="s">
        <v>90</v>
      </c>
      <c r="B27" s="13" t="n">
        <f aca="false">SUM(D5:D24)</f>
        <v>42092</v>
      </c>
    </row>
    <row r="28" customFormat="false" ht="15" hidden="false" customHeight="false" outlineLevel="0" collapsed="false">
      <c r="A28" s="12" t="s">
        <v>91</v>
      </c>
      <c r="B28" s="13" t="n">
        <f aca="false">32-CEILING(ROUND(LOG(B26,2),9),1)</f>
        <v>16</v>
      </c>
    </row>
    <row r="29" customFormat="false" ht="15" hidden="false" customHeight="false" outlineLevel="0" collapsed="false">
      <c r="A29" s="12" t="s">
        <v>92</v>
      </c>
      <c r="B29" s="13" t="n">
        <f aca="false">2^(32-B28)</f>
        <v>65536</v>
      </c>
    </row>
    <row r="30" customFormat="false" ht="15" hidden="false" customHeight="false" outlineLevel="0" collapsed="false">
      <c r="A30" s="12" t="s">
        <v>93</v>
      </c>
      <c r="B30" s="13" t="str">
        <f aca="false">"10."&amp;Info!$B$5&amp;".0.0/"&amp;B28</f>
        <v>10.16.0.0/16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9" min="9" style="0" width="16"/>
    <col collapsed="false" customWidth="true" hidden="false" outlineLevel="0" max="10" min="10" style="0" width="32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0"/>
  </cols>
  <sheetData>
    <row r="1" customFormat="false" ht="16.1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3" t="s">
        <v>33</v>
      </c>
      <c r="B4" s="3" t="s">
        <v>35</v>
      </c>
      <c r="C4" s="3" t="s">
        <v>80</v>
      </c>
      <c r="D4" s="3" t="s">
        <v>37</v>
      </c>
      <c r="E4" s="3" t="s">
        <v>40</v>
      </c>
      <c r="F4" s="3" t="s">
        <v>39</v>
      </c>
      <c r="G4" s="3" t="s">
        <v>81</v>
      </c>
      <c r="H4" s="3" t="s">
        <v>82</v>
      </c>
      <c r="I4" s="3" t="s">
        <v>41</v>
      </c>
      <c r="J4" s="3" t="s">
        <v>83</v>
      </c>
      <c r="K4" s="3" t="s">
        <v>84</v>
      </c>
      <c r="L4" s="3" t="s">
        <v>85</v>
      </c>
      <c r="M4" s="3" t="s">
        <v>86</v>
      </c>
      <c r="N4" s="3" t="s">
        <v>87</v>
      </c>
    </row>
    <row r="5" customFormat="false" ht="15" hidden="false" customHeight="false" outlineLevel="0" collapsed="false">
      <c r="A5" s="4" t="n">
        <v>1</v>
      </c>
      <c r="B5" s="4" t="s">
        <v>47</v>
      </c>
      <c r="C5" s="4" t="s">
        <v>96</v>
      </c>
      <c r="D5" s="9" t="n">
        <f aca="false">INDEX(Kebutuhan!$E$5:$E$24,MATCH($B5,Kebutuhan!$C$5:$C$24,0))</f>
        <v>6000</v>
      </c>
      <c r="E5" s="4" t="n">
        <f aca="false">INDEX(Kebutuhan!$H$5:$H$24,MATCH($B5,Kebutuhan!$C$5:$C$24,0))</f>
        <v>19</v>
      </c>
      <c r="F5" s="9" t="n">
        <f aca="false">INDEX(Kebutuhan!$G$5:$G$24,MATCH($B5,Kebutuhan!$C$5:$C$24,0))</f>
        <v>8192</v>
      </c>
      <c r="G5" s="8" t="n">
        <v>0</v>
      </c>
      <c r="H5" s="4" t="str">
        <f aca="false">"10."&amp;(Info!$B$5+INT((G5)/65536))&amp;"."&amp;INT(MOD((G5),65536)/256)&amp;"."&amp;MOD((G5),256)</f>
        <v>10.16.0.0</v>
      </c>
      <c r="I5" s="4" t="str">
        <f aca="false">INDEX(Kebutuhan!$I$5:$I$24,MATCH($B5,Kebutuhan!$C$5:$C$24,0))</f>
        <v>255.255.224.0</v>
      </c>
      <c r="J5" s="4" t="str">
        <f aca="false">"10."&amp;(Info!$B$5+INT((G5+1)/65536))&amp;"."&amp;INT(MOD((G5+1),65536)/256)&amp;"."&amp;MOD((G5+1),256)&amp;" – "&amp;"10."&amp;(Info!$B$5+INT((G5+F5-2)/65536))&amp;"."&amp;INT(MOD((G5+F5-2),65536)/256)&amp;"."&amp;MOD((G5+F5-2),256)</f>
        <v>10.16.0.1 – 10.16.31.254</v>
      </c>
      <c r="K5" s="4" t="str">
        <f aca="false">"10."&amp;(Info!$B$5+INT((G5+F5-1)/65536))&amp;"."&amp;INT(MOD((G5+F5-1),65536)/256)&amp;"."&amp;MOD((G5+F5-1),256)</f>
        <v>10.16.31.255</v>
      </c>
      <c r="L5" s="4" t="str">
        <f aca="false">IF(INDEX(Kebutuhan!$D$5:$D$24,MATCH($B5,Kebutuhan!$C$5:$C$24,0))="Link","—","10."&amp;(Info!$B$5+INT((G5+1)/65536))&amp;"."&amp;INT(MOD((G5+1),65536)/256)&amp;"."&amp;MOD((G5+1),256))</f>
        <v>10.16.0.1</v>
      </c>
      <c r="M5" s="4" t="str">
        <f aca="false">IF(MOD(G5,F5)=0,"OK","TIDAK ALIGNED")</f>
        <v>OK</v>
      </c>
      <c r="N5" s="4" t="s">
        <v>88</v>
      </c>
    </row>
    <row r="6" customFormat="false" ht="15" hidden="false" customHeight="false" outlineLevel="0" collapsed="false">
      <c r="A6" s="4" t="n">
        <v>2</v>
      </c>
      <c r="B6" s="4" t="s">
        <v>48</v>
      </c>
      <c r="C6" s="4" t="s">
        <v>96</v>
      </c>
      <c r="D6" s="9" t="n">
        <f aca="false">INDEX(Kebutuhan!$E$5:$E$24,MATCH($B6,Kebutuhan!$C$5:$C$24,0))</f>
        <v>180</v>
      </c>
      <c r="E6" s="4" t="n">
        <f aca="false">INDEX(Kebutuhan!$H$5:$H$24,MATCH($B6,Kebutuhan!$C$5:$C$24,0))</f>
        <v>24</v>
      </c>
      <c r="F6" s="9" t="n">
        <f aca="false">INDEX(Kebutuhan!$G$5:$G$24,MATCH($B6,Kebutuhan!$C$5:$C$24,0))</f>
        <v>256</v>
      </c>
      <c r="G6" s="8" t="n">
        <v>8192</v>
      </c>
      <c r="H6" s="4" t="str">
        <f aca="false">"10."&amp;(Info!$B$5+INT((G6)/65536))&amp;"."&amp;INT(MOD((G6),65536)/256)&amp;"."&amp;MOD((G6),256)</f>
        <v>10.16.32.0</v>
      </c>
      <c r="I6" s="4" t="str">
        <f aca="false">INDEX(Kebutuhan!$I$5:$I$24,MATCH($B6,Kebutuhan!$C$5:$C$24,0))</f>
        <v>255.255.255.0</v>
      </c>
      <c r="J6" s="4" t="str">
        <f aca="false">"10."&amp;(Info!$B$5+INT((G6+1)/65536))&amp;"."&amp;INT(MOD((G6+1),65536)/256)&amp;"."&amp;MOD((G6+1),256)&amp;" – "&amp;"10."&amp;(Info!$B$5+INT((G6+F6-2)/65536))&amp;"."&amp;INT(MOD((G6+F6-2),65536)/256)&amp;"."&amp;MOD((G6+F6-2),256)</f>
        <v>10.16.32.1 – 10.16.32.254</v>
      </c>
      <c r="K6" s="4" t="str">
        <f aca="false">"10."&amp;(Info!$B$5+INT((G6+F6-1)/65536))&amp;"."&amp;INT(MOD((G6+F6-1),65536)/256)&amp;"."&amp;MOD((G6+F6-1),256)</f>
        <v>10.16.32.255</v>
      </c>
      <c r="L6" s="4" t="str">
        <f aca="false">IF(INDEX(Kebutuhan!$D$5:$D$24,MATCH($B6,Kebutuhan!$C$5:$C$24,0))="Link","—","10."&amp;(Info!$B$5+INT((G6+1)/65536))&amp;"."&amp;INT(MOD((G6+1),65536)/256)&amp;"."&amp;MOD((G6+1),256))</f>
        <v>10.16.32.1</v>
      </c>
      <c r="M6" s="4" t="str">
        <f aca="false">IF(MOD(G6,F6)=0,"OK","TIDAK ALIGNED")</f>
        <v>OK</v>
      </c>
      <c r="N6" s="4" t="str">
        <f aca="false">IF(G6&gt;=G5+F5,"OK","OVERLAP")</f>
        <v>OK</v>
      </c>
    </row>
    <row r="7" customFormat="false" ht="15" hidden="false" customHeight="false" outlineLevel="0" collapsed="false">
      <c r="A7" s="4" t="n">
        <v>3</v>
      </c>
      <c r="B7" s="4" t="s">
        <v>65</v>
      </c>
      <c r="C7" s="4" t="s">
        <v>96</v>
      </c>
      <c r="D7" s="9" t="n">
        <f aca="false">INDEX(Kebutuhan!$E$5:$E$24,MATCH($B7,Kebutuhan!$C$5:$C$24,0))</f>
        <v>2</v>
      </c>
      <c r="E7" s="4" t="n">
        <f aca="false">INDEX(Kebutuhan!$H$5:$H$24,MATCH($B7,Kebutuhan!$C$5:$C$24,0))</f>
        <v>30</v>
      </c>
      <c r="F7" s="9" t="n">
        <f aca="false">INDEX(Kebutuhan!$G$5:$G$24,MATCH($B7,Kebutuhan!$C$5:$C$24,0))</f>
        <v>4</v>
      </c>
      <c r="G7" s="8" t="n">
        <v>8448</v>
      </c>
      <c r="H7" s="4" t="str">
        <f aca="false">"10."&amp;(Info!$B$5+INT((G7)/65536))&amp;"."&amp;INT(MOD((G7),65536)/256)&amp;"."&amp;MOD((G7),256)</f>
        <v>10.16.33.0</v>
      </c>
      <c r="I7" s="4" t="str">
        <f aca="false">INDEX(Kebutuhan!$I$5:$I$24,MATCH($B7,Kebutuhan!$C$5:$C$24,0))</f>
        <v>255.255.255.252</v>
      </c>
      <c r="J7" s="4" t="str">
        <f aca="false">"10."&amp;(Info!$B$5+INT((G7+1)/65536))&amp;"."&amp;INT(MOD((G7+1),65536)/256)&amp;"."&amp;MOD((G7+1),256)&amp;" – "&amp;"10."&amp;(Info!$B$5+INT((G7+F7-2)/65536))&amp;"."&amp;INT(MOD((G7+F7-2),65536)/256)&amp;"."&amp;MOD((G7+F7-2),256)</f>
        <v>10.16.33.1 – 10.16.33.2</v>
      </c>
      <c r="K7" s="4" t="str">
        <f aca="false">"10."&amp;(Info!$B$5+INT((G7+F7-1)/65536))&amp;"."&amp;INT(MOD((G7+F7-1),65536)/256)&amp;"."&amp;MOD((G7+F7-1),256)</f>
        <v>10.16.33.3</v>
      </c>
      <c r="L7" s="4" t="str">
        <f aca="false">IF(INDEX(Kebutuhan!$D$5:$D$24,MATCH($B7,Kebutuhan!$C$5:$C$24,0))="Link","—","10."&amp;(Info!$B$5+INT((G7+1)/65536))&amp;"."&amp;INT(MOD((G7+1),65536)/256)&amp;"."&amp;MOD((G7+1),256))</f>
        <v>—</v>
      </c>
      <c r="M7" s="4" t="str">
        <f aca="false">IF(MOD(G7,F7)=0,"OK","TIDAK ALIGNED")</f>
        <v>OK</v>
      </c>
      <c r="N7" s="4" t="str">
        <f aca="false">IF(G7&gt;=G6+F6,"OK","OVERLAP")</f>
        <v>OK</v>
      </c>
    </row>
    <row r="8" customFormat="false" ht="15" hidden="false" customHeight="false" outlineLevel="0" collapsed="false">
      <c r="A8" s="4" t="n">
        <v>4</v>
      </c>
      <c r="B8" s="4" t="s">
        <v>62</v>
      </c>
      <c r="C8" s="4" t="s">
        <v>97</v>
      </c>
      <c r="D8" s="9" t="n">
        <f aca="false">INDEX(Kebutuhan!$E$5:$E$24,MATCH($B8,Kebutuhan!$C$5:$C$24,0))</f>
        <v>4500</v>
      </c>
      <c r="E8" s="4" t="n">
        <f aca="false">INDEX(Kebutuhan!$H$5:$H$24,MATCH($B8,Kebutuhan!$C$5:$C$24,0))</f>
        <v>19</v>
      </c>
      <c r="F8" s="9" t="n">
        <f aca="false">INDEX(Kebutuhan!$G$5:$G$24,MATCH($B8,Kebutuhan!$C$5:$C$24,0))</f>
        <v>8192</v>
      </c>
      <c r="G8" s="8" t="n">
        <v>16384</v>
      </c>
      <c r="H8" s="4" t="str">
        <f aca="false">"10."&amp;(Info!$B$5+INT((G8)/65536))&amp;"."&amp;INT(MOD((G8),65536)/256)&amp;"."&amp;MOD((G8),256)</f>
        <v>10.16.64.0</v>
      </c>
      <c r="I8" s="4" t="str">
        <f aca="false">INDEX(Kebutuhan!$I$5:$I$24,MATCH($B8,Kebutuhan!$C$5:$C$24,0))</f>
        <v>255.255.224.0</v>
      </c>
      <c r="J8" s="4" t="str">
        <f aca="false">"10."&amp;(Info!$B$5+INT((G8+1)/65536))&amp;"."&amp;INT(MOD((G8+1),65536)/256)&amp;"."&amp;MOD((G8+1),256)&amp;" – "&amp;"10."&amp;(Info!$B$5+INT((G8+F8-2)/65536))&amp;"."&amp;INT(MOD((G8+F8-2),65536)/256)&amp;"."&amp;MOD((G8+F8-2),256)</f>
        <v>10.16.64.1 – 10.16.95.254</v>
      </c>
      <c r="K8" s="4" t="str">
        <f aca="false">"10."&amp;(Info!$B$5+INT((G8+F8-1)/65536))&amp;"."&amp;INT(MOD((G8+F8-1),65536)/256)&amp;"."&amp;MOD((G8+F8-1),256)</f>
        <v>10.16.95.255</v>
      </c>
      <c r="L8" s="4" t="str">
        <f aca="false">IF(INDEX(Kebutuhan!$D$5:$D$24,MATCH($B8,Kebutuhan!$C$5:$C$24,0))="Link","—","10."&amp;(Info!$B$5+INT((G8+1)/65536))&amp;"."&amp;INT(MOD((G8+1),65536)/256)&amp;"."&amp;MOD((G8+1),256))</f>
        <v>10.16.64.1</v>
      </c>
      <c r="M8" s="4" t="str">
        <f aca="false">IF(MOD(G8,F8)=0,"OK","TIDAK ALIGNED")</f>
        <v>OK</v>
      </c>
      <c r="N8" s="4" t="str">
        <f aca="false">IF(G8&gt;=G7+F7,"OK","OVERLAP")</f>
        <v>OK</v>
      </c>
    </row>
    <row r="9" customFormat="false" ht="15" hidden="false" customHeight="false" outlineLevel="0" collapsed="false">
      <c r="A9" s="4" t="n">
        <v>5</v>
      </c>
      <c r="B9" s="4" t="s">
        <v>63</v>
      </c>
      <c r="C9" s="4" t="s">
        <v>97</v>
      </c>
      <c r="D9" s="9" t="n">
        <f aca="false">INDEX(Kebutuhan!$E$5:$E$24,MATCH($B9,Kebutuhan!$C$5:$C$24,0))</f>
        <v>220</v>
      </c>
      <c r="E9" s="4" t="n">
        <f aca="false">INDEX(Kebutuhan!$H$5:$H$24,MATCH($B9,Kebutuhan!$C$5:$C$24,0))</f>
        <v>24</v>
      </c>
      <c r="F9" s="9" t="n">
        <f aca="false">INDEX(Kebutuhan!$G$5:$G$24,MATCH($B9,Kebutuhan!$C$5:$C$24,0))</f>
        <v>256</v>
      </c>
      <c r="G9" s="8" t="n">
        <v>24576</v>
      </c>
      <c r="H9" s="4" t="str">
        <f aca="false">"10."&amp;(Info!$B$5+INT((G9)/65536))&amp;"."&amp;INT(MOD((G9),65536)/256)&amp;"."&amp;MOD((G9),256)</f>
        <v>10.16.96.0</v>
      </c>
      <c r="I9" s="4" t="str">
        <f aca="false">INDEX(Kebutuhan!$I$5:$I$24,MATCH($B9,Kebutuhan!$C$5:$C$24,0))</f>
        <v>255.255.255.0</v>
      </c>
      <c r="J9" s="4" t="str">
        <f aca="false">"10."&amp;(Info!$B$5+INT((G9+1)/65536))&amp;"."&amp;INT(MOD((G9+1),65536)/256)&amp;"."&amp;MOD((G9+1),256)&amp;" – "&amp;"10."&amp;(Info!$B$5+INT((G9+F9-2)/65536))&amp;"."&amp;INT(MOD((G9+F9-2),65536)/256)&amp;"."&amp;MOD((G9+F9-2),256)</f>
        <v>10.16.96.1 – 10.16.96.254</v>
      </c>
      <c r="K9" s="4" t="str">
        <f aca="false">"10."&amp;(Info!$B$5+INT((G9+F9-1)/65536))&amp;"."&amp;INT(MOD((G9+F9-1),65536)/256)&amp;"."&amp;MOD((G9+F9-1),256)</f>
        <v>10.16.96.255</v>
      </c>
      <c r="L9" s="4" t="str">
        <f aca="false">IF(INDEX(Kebutuhan!$D$5:$D$24,MATCH($B9,Kebutuhan!$C$5:$C$24,0))="Link","—","10."&amp;(Info!$B$5+INT((G9+1)/65536))&amp;"."&amp;INT(MOD((G9+1),65536)/256)&amp;"."&amp;MOD((G9+1),256))</f>
        <v>10.16.96.1</v>
      </c>
      <c r="M9" s="4" t="str">
        <f aca="false">IF(MOD(G9,F9)=0,"OK","TIDAK ALIGNED")</f>
        <v>OK</v>
      </c>
      <c r="N9" s="4" t="str">
        <f aca="false">IF(G9&gt;=G8+F8,"OK","OVERLAP")</f>
        <v>OK</v>
      </c>
    </row>
    <row r="10" customFormat="false" ht="15" hidden="false" customHeight="false" outlineLevel="0" collapsed="false">
      <c r="A10" s="4" t="n">
        <v>6</v>
      </c>
      <c r="B10" s="4" t="s">
        <v>74</v>
      </c>
      <c r="C10" s="4" t="s">
        <v>97</v>
      </c>
      <c r="D10" s="9" t="n">
        <f aca="false">INDEX(Kebutuhan!$E$5:$E$24,MATCH($B10,Kebutuhan!$C$5:$C$24,0))</f>
        <v>2</v>
      </c>
      <c r="E10" s="4" t="n">
        <f aca="false">INDEX(Kebutuhan!$H$5:$H$24,MATCH($B10,Kebutuhan!$C$5:$C$24,0))</f>
        <v>30</v>
      </c>
      <c r="F10" s="9" t="n">
        <f aca="false">INDEX(Kebutuhan!$G$5:$G$24,MATCH($B10,Kebutuhan!$C$5:$C$24,0))</f>
        <v>4</v>
      </c>
      <c r="G10" s="8" t="n">
        <v>24832</v>
      </c>
      <c r="H10" s="4" t="str">
        <f aca="false">"10."&amp;(Info!$B$5+INT((G10)/65536))&amp;"."&amp;INT(MOD((G10),65536)/256)&amp;"."&amp;MOD((G10),256)</f>
        <v>10.16.97.0</v>
      </c>
      <c r="I10" s="4" t="str">
        <f aca="false">INDEX(Kebutuhan!$I$5:$I$24,MATCH($B10,Kebutuhan!$C$5:$C$24,0))</f>
        <v>255.255.255.252</v>
      </c>
      <c r="J10" s="4" t="str">
        <f aca="false">"10."&amp;(Info!$B$5+INT((G10+1)/65536))&amp;"."&amp;INT(MOD((G10+1),65536)/256)&amp;"."&amp;MOD((G10+1),256)&amp;" – "&amp;"10."&amp;(Info!$B$5+INT((G10+F10-2)/65536))&amp;"."&amp;INT(MOD((G10+F10-2),65536)/256)&amp;"."&amp;MOD((G10+F10-2),256)</f>
        <v>10.16.97.1 – 10.16.97.2</v>
      </c>
      <c r="K10" s="4" t="str">
        <f aca="false">"10."&amp;(Info!$B$5+INT((G10+F10-1)/65536))&amp;"."&amp;INT(MOD((G10+F10-1),65536)/256)&amp;"."&amp;MOD((G10+F10-1),256)</f>
        <v>10.16.97.3</v>
      </c>
      <c r="L10" s="4" t="str">
        <f aca="false">IF(INDEX(Kebutuhan!$D$5:$D$24,MATCH($B10,Kebutuhan!$C$5:$C$24,0))="Link","—","10."&amp;(Info!$B$5+INT((G10+1)/65536))&amp;"."&amp;INT(MOD((G10+1),65536)/256)&amp;"."&amp;MOD((G10+1),256))</f>
        <v>—</v>
      </c>
      <c r="M10" s="4" t="str">
        <f aca="false">IF(MOD(G10,F10)=0,"OK","TIDAK ALIGNED")</f>
        <v>OK</v>
      </c>
      <c r="N10" s="4" t="str">
        <f aca="false">IF(G10&gt;=G9+F9,"OK","OVERLAP")</f>
        <v>OK</v>
      </c>
    </row>
    <row r="11" customFormat="false" ht="15" hidden="false" customHeight="false" outlineLevel="0" collapsed="false">
      <c r="A11" s="4" t="n">
        <v>7</v>
      </c>
      <c r="B11" s="4" t="s">
        <v>59</v>
      </c>
      <c r="C11" s="4" t="s">
        <v>98</v>
      </c>
      <c r="D11" s="9" t="n">
        <f aca="false">INDEX(Kebutuhan!$E$5:$E$24,MATCH($B11,Kebutuhan!$C$5:$C$24,0))</f>
        <v>5500</v>
      </c>
      <c r="E11" s="4" t="n">
        <f aca="false">INDEX(Kebutuhan!$H$5:$H$24,MATCH($B11,Kebutuhan!$C$5:$C$24,0))</f>
        <v>19</v>
      </c>
      <c r="F11" s="9" t="n">
        <f aca="false">INDEX(Kebutuhan!$G$5:$G$24,MATCH($B11,Kebutuhan!$C$5:$C$24,0))</f>
        <v>8192</v>
      </c>
      <c r="G11" s="8" t="n">
        <v>32768</v>
      </c>
      <c r="H11" s="4" t="str">
        <f aca="false">"10."&amp;(Info!$B$5+INT((G11)/65536))&amp;"."&amp;INT(MOD((G11),65536)/256)&amp;"."&amp;MOD((G11),256)</f>
        <v>10.16.128.0</v>
      </c>
      <c r="I11" s="4" t="str">
        <f aca="false">INDEX(Kebutuhan!$I$5:$I$24,MATCH($B11,Kebutuhan!$C$5:$C$24,0))</f>
        <v>255.255.224.0</v>
      </c>
      <c r="J11" s="4" t="str">
        <f aca="false">"10."&amp;(Info!$B$5+INT((G11+1)/65536))&amp;"."&amp;INT(MOD((G11+1),65536)/256)&amp;"."&amp;MOD((G11+1),256)&amp;" – "&amp;"10."&amp;(Info!$B$5+INT((G11+F11-2)/65536))&amp;"."&amp;INT(MOD((G11+F11-2),65536)/256)&amp;"."&amp;MOD((G11+F11-2),256)</f>
        <v>10.16.128.1 – 10.16.159.254</v>
      </c>
      <c r="K11" s="4" t="str">
        <f aca="false">"10."&amp;(Info!$B$5+INT((G11+F11-1)/65536))&amp;"."&amp;INT(MOD((G11+F11-1),65536)/256)&amp;"."&amp;MOD((G11+F11-1),256)</f>
        <v>10.16.159.255</v>
      </c>
      <c r="L11" s="4" t="str">
        <f aca="false">IF(INDEX(Kebutuhan!$D$5:$D$24,MATCH($B11,Kebutuhan!$C$5:$C$24,0))="Link","—","10."&amp;(Info!$B$5+INT((G11+1)/65536))&amp;"."&amp;INT(MOD((G11+1),65536)/256)&amp;"."&amp;MOD((G11+1),256))</f>
        <v>10.16.128.1</v>
      </c>
      <c r="M11" s="4" t="str">
        <f aca="false">IF(MOD(G11,F11)=0,"OK","TIDAK ALIGNED")</f>
        <v>OK</v>
      </c>
      <c r="N11" s="4" t="str">
        <f aca="false">IF(G11&gt;=G10+F10,"OK","OVERLAP")</f>
        <v>OK</v>
      </c>
    </row>
    <row r="12" customFormat="false" ht="15" hidden="false" customHeight="false" outlineLevel="0" collapsed="false">
      <c r="A12" s="4" t="n">
        <v>8</v>
      </c>
      <c r="B12" s="4" t="s">
        <v>60</v>
      </c>
      <c r="C12" s="4" t="s">
        <v>98</v>
      </c>
      <c r="D12" s="9" t="n">
        <f aca="false">INDEX(Kebutuhan!$E$5:$E$24,MATCH($B12,Kebutuhan!$C$5:$C$24,0))</f>
        <v>700</v>
      </c>
      <c r="E12" s="4" t="n">
        <f aca="false">INDEX(Kebutuhan!$H$5:$H$24,MATCH($B12,Kebutuhan!$C$5:$C$24,0))</f>
        <v>22</v>
      </c>
      <c r="F12" s="9" t="n">
        <f aca="false">INDEX(Kebutuhan!$G$5:$G$24,MATCH($B12,Kebutuhan!$C$5:$C$24,0))</f>
        <v>1024</v>
      </c>
      <c r="G12" s="8" t="n">
        <v>40960</v>
      </c>
      <c r="H12" s="4" t="str">
        <f aca="false">"10."&amp;(Info!$B$5+INT((G12)/65536))&amp;"."&amp;INT(MOD((G12),65536)/256)&amp;"."&amp;MOD((G12),256)</f>
        <v>10.16.160.0</v>
      </c>
      <c r="I12" s="4" t="str">
        <f aca="false">INDEX(Kebutuhan!$I$5:$I$24,MATCH($B12,Kebutuhan!$C$5:$C$24,0))</f>
        <v>255.255.252.0</v>
      </c>
      <c r="J12" s="4" t="str">
        <f aca="false">"10."&amp;(Info!$B$5+INT((G12+1)/65536))&amp;"."&amp;INT(MOD((G12+1),65536)/256)&amp;"."&amp;MOD((G12+1),256)&amp;" – "&amp;"10."&amp;(Info!$B$5+INT((G12+F12-2)/65536))&amp;"."&amp;INT(MOD((G12+F12-2),65536)/256)&amp;"."&amp;MOD((G12+F12-2),256)</f>
        <v>10.16.160.1 – 10.16.163.254</v>
      </c>
      <c r="K12" s="4" t="str">
        <f aca="false">"10."&amp;(Info!$B$5+INT((G12+F12-1)/65536))&amp;"."&amp;INT(MOD((G12+F12-1),65536)/256)&amp;"."&amp;MOD((G12+F12-1),256)</f>
        <v>10.16.163.255</v>
      </c>
      <c r="L12" s="4" t="str">
        <f aca="false">IF(INDEX(Kebutuhan!$D$5:$D$24,MATCH($B12,Kebutuhan!$C$5:$C$24,0))="Link","—","10."&amp;(Info!$B$5+INT((G12+1)/65536))&amp;"."&amp;INT(MOD((G12+1),65536)/256)&amp;"."&amp;MOD((G12+1),256))</f>
        <v>10.16.160.1</v>
      </c>
      <c r="M12" s="4" t="str">
        <f aca="false">IF(MOD(G12,F12)=0,"OK","TIDAK ALIGNED")</f>
        <v>OK</v>
      </c>
      <c r="N12" s="4" t="str">
        <f aca="false">IF(G12&gt;=G11+F11,"OK","OVERLAP")</f>
        <v>OK</v>
      </c>
    </row>
    <row r="13" customFormat="false" ht="15" hidden="false" customHeight="false" outlineLevel="0" collapsed="false">
      <c r="A13" s="4" t="n">
        <v>9</v>
      </c>
      <c r="B13" s="4" t="s">
        <v>72</v>
      </c>
      <c r="C13" s="4" t="s">
        <v>98</v>
      </c>
      <c r="D13" s="9" t="n">
        <f aca="false">INDEX(Kebutuhan!$E$5:$E$24,MATCH($B13,Kebutuhan!$C$5:$C$24,0))</f>
        <v>2</v>
      </c>
      <c r="E13" s="4" t="n">
        <f aca="false">INDEX(Kebutuhan!$H$5:$H$24,MATCH($B13,Kebutuhan!$C$5:$C$24,0))</f>
        <v>30</v>
      </c>
      <c r="F13" s="9" t="n">
        <f aca="false">INDEX(Kebutuhan!$G$5:$G$24,MATCH($B13,Kebutuhan!$C$5:$C$24,0))</f>
        <v>4</v>
      </c>
      <c r="G13" s="8" t="n">
        <v>41984</v>
      </c>
      <c r="H13" s="4" t="str">
        <f aca="false">"10."&amp;(Info!$B$5+INT((G13)/65536))&amp;"."&amp;INT(MOD((G13),65536)/256)&amp;"."&amp;MOD((G13),256)</f>
        <v>10.16.164.0</v>
      </c>
      <c r="I13" s="4" t="str">
        <f aca="false">INDEX(Kebutuhan!$I$5:$I$24,MATCH($B13,Kebutuhan!$C$5:$C$24,0))</f>
        <v>255.255.255.252</v>
      </c>
      <c r="J13" s="4" t="str">
        <f aca="false">"10."&amp;(Info!$B$5+INT((G13+1)/65536))&amp;"."&amp;INT(MOD((G13+1),65536)/256)&amp;"."&amp;MOD((G13+1),256)&amp;" – "&amp;"10."&amp;(Info!$B$5+INT((G13+F13-2)/65536))&amp;"."&amp;INT(MOD((G13+F13-2),65536)/256)&amp;"."&amp;MOD((G13+F13-2),256)</f>
        <v>10.16.164.1 – 10.16.164.2</v>
      </c>
      <c r="K13" s="4" t="str">
        <f aca="false">"10."&amp;(Info!$B$5+INT((G13+F13-1)/65536))&amp;"."&amp;INT(MOD((G13+F13-1),65536)/256)&amp;"."&amp;MOD((G13+F13-1),256)</f>
        <v>10.16.164.3</v>
      </c>
      <c r="L13" s="4" t="str">
        <f aca="false">IF(INDEX(Kebutuhan!$D$5:$D$24,MATCH($B13,Kebutuhan!$C$5:$C$24,0))="Link","—","10."&amp;(Info!$B$5+INT((G13+1)/65536))&amp;"."&amp;INT(MOD((G13+1),65536)/256)&amp;"."&amp;MOD((G13+1),256))</f>
        <v>—</v>
      </c>
      <c r="M13" s="4" t="str">
        <f aca="false">IF(MOD(G13,F13)=0,"OK","TIDAK ALIGNED")</f>
        <v>OK</v>
      </c>
      <c r="N13" s="4" t="str">
        <f aca="false">IF(G13&gt;=G12+F12,"OK","OVERLAP")</f>
        <v>OK</v>
      </c>
    </row>
    <row r="14" customFormat="false" ht="15" hidden="false" customHeight="false" outlineLevel="0" collapsed="false">
      <c r="A14" s="4" t="n">
        <v>10</v>
      </c>
      <c r="B14" s="4" t="s">
        <v>56</v>
      </c>
      <c r="C14" s="4" t="s">
        <v>99</v>
      </c>
      <c r="D14" s="9" t="n">
        <f aca="false">INDEX(Kebutuhan!$E$5:$E$24,MATCH($B14,Kebutuhan!$C$5:$C$24,0))</f>
        <v>6500</v>
      </c>
      <c r="E14" s="4" t="n">
        <f aca="false">INDEX(Kebutuhan!$H$5:$H$24,MATCH($B14,Kebutuhan!$C$5:$C$24,0))</f>
        <v>19</v>
      </c>
      <c r="F14" s="9" t="n">
        <f aca="false">INDEX(Kebutuhan!$G$5:$G$24,MATCH($B14,Kebutuhan!$C$5:$C$24,0))</f>
        <v>8192</v>
      </c>
      <c r="G14" s="8" t="n">
        <v>49152</v>
      </c>
      <c r="H14" s="4" t="str">
        <f aca="false">"10."&amp;(Info!$B$5+INT((G14)/65536))&amp;"."&amp;INT(MOD((G14),65536)/256)&amp;"."&amp;MOD((G14),256)</f>
        <v>10.16.192.0</v>
      </c>
      <c r="I14" s="4" t="str">
        <f aca="false">INDEX(Kebutuhan!$I$5:$I$24,MATCH($B14,Kebutuhan!$C$5:$C$24,0))</f>
        <v>255.255.224.0</v>
      </c>
      <c r="J14" s="4" t="str">
        <f aca="false">"10."&amp;(Info!$B$5+INT((G14+1)/65536))&amp;"."&amp;INT(MOD((G14+1),65536)/256)&amp;"."&amp;MOD((G14+1),256)&amp;" – "&amp;"10."&amp;(Info!$B$5+INT((G14+F14-2)/65536))&amp;"."&amp;INT(MOD((G14+F14-2),65536)/256)&amp;"."&amp;MOD((G14+F14-2),256)</f>
        <v>10.16.192.1 – 10.16.223.254</v>
      </c>
      <c r="K14" s="4" t="str">
        <f aca="false">"10."&amp;(Info!$B$5+INT((G14+F14-1)/65536))&amp;"."&amp;INT(MOD((G14+F14-1),65536)/256)&amp;"."&amp;MOD((G14+F14-1),256)</f>
        <v>10.16.223.255</v>
      </c>
      <c r="L14" s="4" t="str">
        <f aca="false">IF(INDEX(Kebutuhan!$D$5:$D$24,MATCH($B14,Kebutuhan!$C$5:$C$24,0))="Link","—","10."&amp;(Info!$B$5+INT((G14+1)/65536))&amp;"."&amp;INT(MOD((G14+1),65536)/256)&amp;"."&amp;MOD((G14+1),256))</f>
        <v>10.16.192.1</v>
      </c>
      <c r="M14" s="4" t="str">
        <f aca="false">IF(MOD(G14,F14)=0,"OK","TIDAK ALIGNED")</f>
        <v>OK</v>
      </c>
      <c r="N14" s="4" t="str">
        <f aca="false">IF(G14&gt;=G13+F13,"OK","OVERLAP")</f>
        <v>OK</v>
      </c>
    </row>
    <row r="15" customFormat="false" ht="15" hidden="false" customHeight="false" outlineLevel="0" collapsed="false">
      <c r="A15" s="4" t="n">
        <v>11</v>
      </c>
      <c r="B15" s="4" t="s">
        <v>57</v>
      </c>
      <c r="C15" s="4" t="s">
        <v>99</v>
      </c>
      <c r="D15" s="9" t="n">
        <f aca="false">INDEX(Kebutuhan!$E$5:$E$24,MATCH($B15,Kebutuhan!$C$5:$C$24,0))</f>
        <v>90</v>
      </c>
      <c r="E15" s="4" t="n">
        <f aca="false">INDEX(Kebutuhan!$H$5:$H$24,MATCH($B15,Kebutuhan!$C$5:$C$24,0))</f>
        <v>25</v>
      </c>
      <c r="F15" s="9" t="n">
        <f aca="false">INDEX(Kebutuhan!$G$5:$G$24,MATCH($B15,Kebutuhan!$C$5:$C$24,0))</f>
        <v>128</v>
      </c>
      <c r="G15" s="8" t="n">
        <v>57344</v>
      </c>
      <c r="H15" s="4" t="str">
        <f aca="false">"10."&amp;(Info!$B$5+INT((G15)/65536))&amp;"."&amp;INT(MOD((G15),65536)/256)&amp;"."&amp;MOD((G15),256)</f>
        <v>10.16.224.0</v>
      </c>
      <c r="I15" s="4" t="str">
        <f aca="false">INDEX(Kebutuhan!$I$5:$I$24,MATCH($B15,Kebutuhan!$C$5:$C$24,0))</f>
        <v>255.255.255.128</v>
      </c>
      <c r="J15" s="4" t="str">
        <f aca="false">"10."&amp;(Info!$B$5+INT((G15+1)/65536))&amp;"."&amp;INT(MOD((G15+1),65536)/256)&amp;"."&amp;MOD((G15+1),256)&amp;" – "&amp;"10."&amp;(Info!$B$5+INT((G15+F15-2)/65536))&amp;"."&amp;INT(MOD((G15+F15-2),65536)/256)&amp;"."&amp;MOD((G15+F15-2),256)</f>
        <v>10.16.224.1 – 10.16.224.126</v>
      </c>
      <c r="K15" s="4" t="str">
        <f aca="false">"10."&amp;(Info!$B$5+INT((G15+F15-1)/65536))&amp;"."&amp;INT(MOD((G15+F15-1),65536)/256)&amp;"."&amp;MOD((G15+F15-1),256)</f>
        <v>10.16.224.127</v>
      </c>
      <c r="L15" s="4" t="str">
        <f aca="false">IF(INDEX(Kebutuhan!$D$5:$D$24,MATCH($B15,Kebutuhan!$C$5:$C$24,0))="Link","—","10."&amp;(Info!$B$5+INT((G15+1)/65536))&amp;"."&amp;INT(MOD((G15+1),65536)/256)&amp;"."&amp;MOD((G15+1),256))</f>
        <v>10.16.224.1</v>
      </c>
      <c r="M15" s="4" t="str">
        <f aca="false">IF(MOD(G15,F15)=0,"OK","TIDAK ALIGNED")</f>
        <v>OK</v>
      </c>
      <c r="N15" s="4" t="str">
        <f aca="false">IF(G15&gt;=G14+F14,"OK","OVERLAP")</f>
        <v>OK</v>
      </c>
    </row>
    <row r="16" customFormat="false" ht="15" hidden="false" customHeight="false" outlineLevel="0" collapsed="false">
      <c r="A16" s="4" t="n">
        <v>12</v>
      </c>
      <c r="B16" s="4" t="s">
        <v>70</v>
      </c>
      <c r="C16" s="4" t="s">
        <v>99</v>
      </c>
      <c r="D16" s="9" t="n">
        <f aca="false">INDEX(Kebutuhan!$E$5:$E$24,MATCH($B16,Kebutuhan!$C$5:$C$24,0))</f>
        <v>2</v>
      </c>
      <c r="E16" s="4" t="n">
        <f aca="false">INDEX(Kebutuhan!$H$5:$H$24,MATCH($B16,Kebutuhan!$C$5:$C$24,0))</f>
        <v>30</v>
      </c>
      <c r="F16" s="9" t="n">
        <f aca="false">INDEX(Kebutuhan!$G$5:$G$24,MATCH($B16,Kebutuhan!$C$5:$C$24,0))</f>
        <v>4</v>
      </c>
      <c r="G16" s="8" t="n">
        <v>57472</v>
      </c>
      <c r="H16" s="4" t="str">
        <f aca="false">"10."&amp;(Info!$B$5+INT((G16)/65536))&amp;"."&amp;INT(MOD((G16),65536)/256)&amp;"."&amp;MOD((G16),256)</f>
        <v>10.16.224.128</v>
      </c>
      <c r="I16" s="4" t="str">
        <f aca="false">INDEX(Kebutuhan!$I$5:$I$24,MATCH($B16,Kebutuhan!$C$5:$C$24,0))</f>
        <v>255.255.255.252</v>
      </c>
      <c r="J16" s="4" t="str">
        <f aca="false">"10."&amp;(Info!$B$5+INT((G16+1)/65536))&amp;"."&amp;INT(MOD((G16+1),65536)/256)&amp;"."&amp;MOD((G16+1),256)&amp;" – "&amp;"10."&amp;(Info!$B$5+INT((G16+F16-2)/65536))&amp;"."&amp;INT(MOD((G16+F16-2),65536)/256)&amp;"."&amp;MOD((G16+F16-2),256)</f>
        <v>10.16.224.129 – 10.16.224.130</v>
      </c>
      <c r="K16" s="4" t="str">
        <f aca="false">"10."&amp;(Info!$B$5+INT((G16+F16-1)/65536))&amp;"."&amp;INT(MOD((G16+F16-1),65536)/256)&amp;"."&amp;MOD((G16+F16-1),256)</f>
        <v>10.16.224.131</v>
      </c>
      <c r="L16" s="4" t="str">
        <f aca="false">IF(INDEX(Kebutuhan!$D$5:$D$24,MATCH($B16,Kebutuhan!$C$5:$C$24,0))="Link","—","10."&amp;(Info!$B$5+INT((G16+1)/65536))&amp;"."&amp;INT(MOD((G16+1),65536)/256)&amp;"."&amp;MOD((G16+1),256))</f>
        <v>—</v>
      </c>
      <c r="M16" s="4" t="str">
        <f aca="false">IF(MOD(G16,F16)=0,"OK","TIDAK ALIGNED")</f>
        <v>OK</v>
      </c>
      <c r="N16" s="4" t="str">
        <f aca="false">IF(G16&gt;=G15+F15,"OK","OVERLAP")</f>
        <v>OK</v>
      </c>
    </row>
    <row r="17" customFormat="false" ht="15" hidden="false" customHeight="false" outlineLevel="0" collapsed="false">
      <c r="A17" s="4" t="n">
        <v>13</v>
      </c>
      <c r="B17" s="4" t="s">
        <v>43</v>
      </c>
      <c r="C17" s="4" t="s">
        <v>100</v>
      </c>
      <c r="D17" s="9" t="n">
        <f aca="false">INDEX(Kebutuhan!$E$5:$E$24,MATCH($B17,Kebutuhan!$C$5:$C$24,0))</f>
        <v>1800</v>
      </c>
      <c r="E17" s="4" t="n">
        <f aca="false">INDEX(Kebutuhan!$H$5:$H$24,MATCH($B17,Kebutuhan!$C$5:$C$24,0))</f>
        <v>21</v>
      </c>
      <c r="F17" s="9" t="n">
        <f aca="false">INDEX(Kebutuhan!$G$5:$G$24,MATCH($B17,Kebutuhan!$C$5:$C$24,0))</f>
        <v>2048</v>
      </c>
      <c r="G17" s="8" t="n">
        <v>65536</v>
      </c>
      <c r="H17" s="4" t="str">
        <f aca="false">"10."&amp;(Info!$B$5+INT((G17)/65536))&amp;"."&amp;INT(MOD((G17),65536)/256)&amp;"."&amp;MOD((G17),256)</f>
        <v>10.17.0.0</v>
      </c>
      <c r="I17" s="4" t="str">
        <f aca="false">INDEX(Kebutuhan!$I$5:$I$24,MATCH($B17,Kebutuhan!$C$5:$C$24,0))</f>
        <v>255.255.248.0</v>
      </c>
      <c r="J17" s="4" t="str">
        <f aca="false">"10."&amp;(Info!$B$5+INT((G17+1)/65536))&amp;"."&amp;INT(MOD((G17+1),65536)/256)&amp;"."&amp;MOD((G17+1),256)&amp;" – "&amp;"10."&amp;(Info!$B$5+INT((G17+F17-2)/65536))&amp;"."&amp;INT(MOD((G17+F17-2),65536)/256)&amp;"."&amp;MOD((G17+F17-2),256)</f>
        <v>10.17.0.1 – 10.17.7.254</v>
      </c>
      <c r="K17" s="4" t="str">
        <f aca="false">"10."&amp;(Info!$B$5+INT((G17+F17-1)/65536))&amp;"."&amp;INT(MOD((G17+F17-1),65536)/256)&amp;"."&amp;MOD((G17+F17-1),256)</f>
        <v>10.17.7.255</v>
      </c>
      <c r="L17" s="4" t="str">
        <f aca="false">IF(INDEX(Kebutuhan!$D$5:$D$24,MATCH($B17,Kebutuhan!$C$5:$C$24,0))="Link","—","10."&amp;(Info!$B$5+INT((G17+1)/65536))&amp;"."&amp;INT(MOD((G17+1),65536)/256)&amp;"."&amp;MOD((G17+1),256))</f>
        <v>10.17.0.1</v>
      </c>
      <c r="M17" s="4" t="str">
        <f aca="false">IF(MOD(G17,F17)=0,"OK","TIDAK ALIGNED")</f>
        <v>OK</v>
      </c>
      <c r="N17" s="4" t="str">
        <f aca="false">IF(G17&gt;=G16+F16,"OK","OVERLAP")</f>
        <v>OK</v>
      </c>
    </row>
    <row r="18" customFormat="false" ht="15" hidden="false" customHeight="false" outlineLevel="0" collapsed="false">
      <c r="A18" s="4" t="n">
        <v>14</v>
      </c>
      <c r="B18" s="4" t="s">
        <v>45</v>
      </c>
      <c r="C18" s="4" t="s">
        <v>100</v>
      </c>
      <c r="D18" s="9" t="n">
        <f aca="false">INDEX(Kebutuhan!$E$5:$E$24,MATCH($B18,Kebutuhan!$C$5:$C$24,0))</f>
        <v>20</v>
      </c>
      <c r="E18" s="4" t="n">
        <f aca="false">INDEX(Kebutuhan!$H$5:$H$24,MATCH($B18,Kebutuhan!$C$5:$C$24,0))</f>
        <v>27</v>
      </c>
      <c r="F18" s="9" t="n">
        <f aca="false">INDEX(Kebutuhan!$G$5:$G$24,MATCH($B18,Kebutuhan!$C$5:$C$24,0))</f>
        <v>32</v>
      </c>
      <c r="G18" s="8" t="n">
        <v>67584</v>
      </c>
      <c r="H18" s="4" t="str">
        <f aca="false">"10."&amp;(Info!$B$5+INT((G18)/65536))&amp;"."&amp;INT(MOD((G18),65536)/256)&amp;"."&amp;MOD((G18),256)</f>
        <v>10.17.8.0</v>
      </c>
      <c r="I18" s="4" t="str">
        <f aca="false">INDEX(Kebutuhan!$I$5:$I$24,MATCH($B18,Kebutuhan!$C$5:$C$24,0))</f>
        <v>255.255.255.224</v>
      </c>
      <c r="J18" s="4" t="str">
        <f aca="false">"10."&amp;(Info!$B$5+INT((G18+1)/65536))&amp;"."&amp;INT(MOD((G18+1),65536)/256)&amp;"."&amp;MOD((G18+1),256)&amp;" – "&amp;"10."&amp;(Info!$B$5+INT((G18+F18-2)/65536))&amp;"."&amp;INT(MOD((G18+F18-2),65536)/256)&amp;"."&amp;MOD((G18+F18-2),256)</f>
        <v>10.17.8.1 – 10.17.8.30</v>
      </c>
      <c r="K18" s="4" t="str">
        <f aca="false">"10."&amp;(Info!$B$5+INT((G18+F18-1)/65536))&amp;"."&amp;INT(MOD((G18+F18-1),65536)/256)&amp;"."&amp;MOD((G18+F18-1),256)</f>
        <v>10.17.8.31</v>
      </c>
      <c r="L18" s="4" t="str">
        <f aca="false">IF(INDEX(Kebutuhan!$D$5:$D$24,MATCH($B18,Kebutuhan!$C$5:$C$24,0))="Link","—","10."&amp;(Info!$B$5+INT((G18+1)/65536))&amp;"."&amp;INT(MOD((G18+1),65536)/256)&amp;"."&amp;MOD((G18+1),256))</f>
        <v>10.17.8.1</v>
      </c>
      <c r="M18" s="4" t="str">
        <f aca="false">IF(MOD(G18,F18)=0,"OK","TIDAK ALIGNED")</f>
        <v>OK</v>
      </c>
      <c r="N18" s="4" t="str">
        <f aca="false">IF(G18&gt;=G17+F17,"OK","OVERLAP")</f>
        <v>OK</v>
      </c>
    </row>
    <row r="19" customFormat="false" ht="15" hidden="false" customHeight="false" outlineLevel="0" collapsed="false">
      <c r="A19" s="4" t="n">
        <v>15</v>
      </c>
      <c r="B19" s="4" t="s">
        <v>50</v>
      </c>
      <c r="C19" s="4" t="s">
        <v>101</v>
      </c>
      <c r="D19" s="9" t="n">
        <f aca="false">INDEX(Kebutuhan!$E$5:$E$24,MATCH($B19,Kebutuhan!$C$5:$C$24,0))</f>
        <v>11000</v>
      </c>
      <c r="E19" s="4" t="n">
        <f aca="false">INDEX(Kebutuhan!$H$5:$H$24,MATCH($B19,Kebutuhan!$C$5:$C$24,0))</f>
        <v>18</v>
      </c>
      <c r="F19" s="9" t="n">
        <f aca="false">INDEX(Kebutuhan!$G$5:$G$24,MATCH($B19,Kebutuhan!$C$5:$C$24,0))</f>
        <v>16384</v>
      </c>
      <c r="G19" s="8" t="n">
        <v>131072</v>
      </c>
      <c r="H19" s="4" t="str">
        <f aca="false">"10."&amp;(Info!$B$5+INT((G19)/65536))&amp;"."&amp;INT(MOD((G19),65536)/256)&amp;"."&amp;MOD((G19),256)</f>
        <v>10.18.0.0</v>
      </c>
      <c r="I19" s="4" t="str">
        <f aca="false">INDEX(Kebutuhan!$I$5:$I$24,MATCH($B19,Kebutuhan!$C$5:$C$24,0))</f>
        <v>255.255.192.0</v>
      </c>
      <c r="J19" s="4" t="str">
        <f aca="false">"10."&amp;(Info!$B$5+INT((G19+1)/65536))&amp;"."&amp;INT(MOD((G19+1),65536)/256)&amp;"."&amp;MOD((G19+1),256)&amp;" – "&amp;"10."&amp;(Info!$B$5+INT((G19+F19-2)/65536))&amp;"."&amp;INT(MOD((G19+F19-2),65536)/256)&amp;"."&amp;MOD((G19+F19-2),256)</f>
        <v>10.18.0.1 – 10.18.63.254</v>
      </c>
      <c r="K19" s="4" t="str">
        <f aca="false">"10."&amp;(Info!$B$5+INT((G19+F19-1)/65536))&amp;"."&amp;INT(MOD((G19+F19-1),65536)/256)&amp;"."&amp;MOD((G19+F19-1),256)</f>
        <v>10.18.63.255</v>
      </c>
      <c r="L19" s="4" t="str">
        <f aca="false">IF(INDEX(Kebutuhan!$D$5:$D$24,MATCH($B19,Kebutuhan!$C$5:$C$24,0))="Link","—","10."&amp;(Info!$B$5+INT((G19+1)/65536))&amp;"."&amp;INT(MOD((G19+1),65536)/256)&amp;"."&amp;MOD((G19+1),256))</f>
        <v>10.18.0.1</v>
      </c>
      <c r="M19" s="4" t="str">
        <f aca="false">IF(MOD(G19,F19)=0,"OK","TIDAK ALIGNED")</f>
        <v>OK</v>
      </c>
      <c r="N19" s="4" t="str">
        <f aca="false">IF(G19&gt;=G18+F18,"OK","OVERLAP")</f>
        <v>OK</v>
      </c>
    </row>
    <row r="20" customFormat="false" ht="15" hidden="false" customHeight="false" outlineLevel="0" collapsed="false">
      <c r="A20" s="4" t="n">
        <v>16</v>
      </c>
      <c r="B20" s="4" t="s">
        <v>53</v>
      </c>
      <c r="C20" s="4" t="s">
        <v>102</v>
      </c>
      <c r="D20" s="9" t="n">
        <f aca="false">INDEX(Kebutuhan!$E$5:$E$24,MATCH($B20,Kebutuhan!$C$5:$C$24,0))</f>
        <v>5000</v>
      </c>
      <c r="E20" s="4" t="n">
        <f aca="false">INDEX(Kebutuhan!$H$5:$H$24,MATCH($B20,Kebutuhan!$C$5:$C$24,0))</f>
        <v>19</v>
      </c>
      <c r="F20" s="9" t="n">
        <f aca="false">INDEX(Kebutuhan!$G$5:$G$24,MATCH($B20,Kebutuhan!$C$5:$C$24,0))</f>
        <v>8192</v>
      </c>
      <c r="G20" s="8" t="n">
        <v>147456</v>
      </c>
      <c r="H20" s="4" t="str">
        <f aca="false">"10."&amp;(Info!$B$5+INT((G20)/65536))&amp;"."&amp;INT(MOD((G20),65536)/256)&amp;"."&amp;MOD((G20),256)</f>
        <v>10.18.64.0</v>
      </c>
      <c r="I20" s="4" t="str">
        <f aca="false">INDEX(Kebutuhan!$I$5:$I$24,MATCH($B20,Kebutuhan!$C$5:$C$24,0))</f>
        <v>255.255.224.0</v>
      </c>
      <c r="J20" s="4" t="str">
        <f aca="false">"10."&amp;(Info!$B$5+INT((G20+1)/65536))&amp;"."&amp;INT(MOD((G20+1),65536)/256)&amp;"."&amp;MOD((G20+1),256)&amp;" – "&amp;"10."&amp;(Info!$B$5+INT((G20+F20-2)/65536))&amp;"."&amp;INT(MOD((G20+F20-2),65536)/256)&amp;"."&amp;MOD((G20+F20-2),256)</f>
        <v>10.18.64.1 – 10.18.95.254</v>
      </c>
      <c r="K20" s="4" t="str">
        <f aca="false">"10."&amp;(Info!$B$5+INT((G20+F20-1)/65536))&amp;"."&amp;INT(MOD((G20+F20-1),65536)/256)&amp;"."&amp;MOD((G20+F20-1),256)</f>
        <v>10.18.95.255</v>
      </c>
      <c r="L20" s="4" t="str">
        <f aca="false">IF(INDEX(Kebutuhan!$D$5:$D$24,MATCH($B20,Kebutuhan!$C$5:$C$24,0))="Link","—","10."&amp;(Info!$B$5+INT((G20+1)/65536))&amp;"."&amp;INT(MOD((G20+1),65536)/256)&amp;"."&amp;MOD((G20+1),256))</f>
        <v>10.18.64.1</v>
      </c>
      <c r="M20" s="4" t="str">
        <f aca="false">IF(MOD(G20,F20)=0,"OK","TIDAK ALIGNED")</f>
        <v>OK</v>
      </c>
      <c r="N20" s="4" t="str">
        <f aca="false">IF(G20&gt;=G19+F19,"OK","OVERLAP")</f>
        <v>OK</v>
      </c>
    </row>
    <row r="21" customFormat="false" ht="15" hidden="false" customHeight="false" outlineLevel="0" collapsed="false">
      <c r="A21" s="4" t="n">
        <v>17</v>
      </c>
      <c r="B21" s="4" t="s">
        <v>54</v>
      </c>
      <c r="C21" s="4" t="s">
        <v>102</v>
      </c>
      <c r="D21" s="9" t="n">
        <f aca="false">INDEX(Kebutuhan!$E$5:$E$24,MATCH($B21,Kebutuhan!$C$5:$C$24,0))</f>
        <v>120</v>
      </c>
      <c r="E21" s="4" t="n">
        <f aca="false">INDEX(Kebutuhan!$H$5:$H$24,MATCH($B21,Kebutuhan!$C$5:$C$24,0))</f>
        <v>25</v>
      </c>
      <c r="F21" s="9" t="n">
        <f aca="false">INDEX(Kebutuhan!$G$5:$G$24,MATCH($B21,Kebutuhan!$C$5:$C$24,0))</f>
        <v>128</v>
      </c>
      <c r="G21" s="8" t="n">
        <v>155648</v>
      </c>
      <c r="H21" s="4" t="str">
        <f aca="false">"10."&amp;(Info!$B$5+INT((G21)/65536))&amp;"."&amp;INT(MOD((G21),65536)/256)&amp;"."&amp;MOD((G21),256)</f>
        <v>10.18.96.0</v>
      </c>
      <c r="I21" s="4" t="str">
        <f aca="false">INDEX(Kebutuhan!$I$5:$I$24,MATCH($B21,Kebutuhan!$C$5:$C$24,0))</f>
        <v>255.255.255.128</v>
      </c>
      <c r="J21" s="4" t="str">
        <f aca="false">"10."&amp;(Info!$B$5+INT((G21+1)/65536))&amp;"."&amp;INT(MOD((G21+1),65536)/256)&amp;"."&amp;MOD((G21+1),256)&amp;" – "&amp;"10."&amp;(Info!$B$5+INT((G21+F21-2)/65536))&amp;"."&amp;INT(MOD((G21+F21-2),65536)/256)&amp;"."&amp;MOD((G21+F21-2),256)</f>
        <v>10.18.96.1 – 10.18.96.126</v>
      </c>
      <c r="K21" s="4" t="str">
        <f aca="false">"10."&amp;(Info!$B$5+INT((G21+F21-1)/65536))&amp;"."&amp;INT(MOD((G21+F21-1),65536)/256)&amp;"."&amp;MOD((G21+F21-1),256)</f>
        <v>10.18.96.127</v>
      </c>
      <c r="L21" s="4" t="str">
        <f aca="false">IF(INDEX(Kebutuhan!$D$5:$D$24,MATCH($B21,Kebutuhan!$C$5:$C$24,0))="Link","—","10."&amp;(Info!$B$5+INT((G21+1)/65536))&amp;"."&amp;INT(MOD((G21+1),65536)/256)&amp;"."&amp;MOD((G21+1),256))</f>
        <v>10.18.96.1</v>
      </c>
      <c r="M21" s="4" t="str">
        <f aca="false">IF(MOD(G21,F21)=0,"OK","TIDAK ALIGNED")</f>
        <v>OK</v>
      </c>
      <c r="N21" s="4" t="str">
        <f aca="false">IF(G21&gt;=G20+F20,"OK","OVERLAP")</f>
        <v>OK</v>
      </c>
    </row>
    <row r="22" customFormat="false" ht="15" hidden="false" customHeight="false" outlineLevel="0" collapsed="false">
      <c r="A22" s="4" t="n">
        <v>18</v>
      </c>
      <c r="B22" s="4" t="s">
        <v>76</v>
      </c>
      <c r="C22" s="4" t="s">
        <v>102</v>
      </c>
      <c r="D22" s="9" t="n">
        <f aca="false">INDEX(Kebutuhan!$E$5:$E$24,MATCH($B22,Kebutuhan!$C$5:$C$24,0))</f>
        <v>2</v>
      </c>
      <c r="E22" s="4" t="n">
        <f aca="false">INDEX(Kebutuhan!$H$5:$H$24,MATCH($B22,Kebutuhan!$C$5:$C$24,0))</f>
        <v>30</v>
      </c>
      <c r="F22" s="9" t="n">
        <f aca="false">INDEX(Kebutuhan!$G$5:$G$24,MATCH($B22,Kebutuhan!$C$5:$C$24,0))</f>
        <v>4</v>
      </c>
      <c r="G22" s="8" t="n">
        <v>155776</v>
      </c>
      <c r="H22" s="4" t="str">
        <f aca="false">"10."&amp;(Info!$B$5+INT((G22)/65536))&amp;"."&amp;INT(MOD((G22),65536)/256)&amp;"."&amp;MOD((G22),256)</f>
        <v>10.18.96.128</v>
      </c>
      <c r="I22" s="4" t="str">
        <f aca="false">INDEX(Kebutuhan!$I$5:$I$24,MATCH($B22,Kebutuhan!$C$5:$C$24,0))</f>
        <v>255.255.255.252</v>
      </c>
      <c r="J22" s="4" t="str">
        <f aca="false">"10."&amp;(Info!$B$5+INT((G22+1)/65536))&amp;"."&amp;INT(MOD((G22+1),65536)/256)&amp;"."&amp;MOD((G22+1),256)&amp;" – "&amp;"10."&amp;(Info!$B$5+INT((G22+F22-2)/65536))&amp;"."&amp;INT(MOD((G22+F22-2),65536)/256)&amp;"."&amp;MOD((G22+F22-2),256)</f>
        <v>10.18.96.129 – 10.18.96.130</v>
      </c>
      <c r="K22" s="4" t="str">
        <f aca="false">"10."&amp;(Info!$B$5+INT((G22+F22-1)/65536))&amp;"."&amp;INT(MOD((G22+F22-1),65536)/256)&amp;"."&amp;MOD((G22+F22-1),256)</f>
        <v>10.18.96.131</v>
      </c>
      <c r="L22" s="4" t="str">
        <f aca="false">IF(INDEX(Kebutuhan!$D$5:$D$24,MATCH($B22,Kebutuhan!$C$5:$C$24,0))="Link","—","10."&amp;(Info!$B$5+INT((G22+1)/65536))&amp;"."&amp;INT(MOD((G22+1),65536)/256)&amp;"."&amp;MOD((G22+1),256))</f>
        <v>—</v>
      </c>
      <c r="M22" s="4" t="str">
        <f aca="false">IF(MOD(G22,F22)=0,"OK","TIDAK ALIGNED")</f>
        <v>OK</v>
      </c>
      <c r="N22" s="4" t="str">
        <f aca="false">IF(G22&gt;=G21+F21,"OK","OVERLAP")</f>
        <v>OK</v>
      </c>
    </row>
    <row r="23" customFormat="false" ht="15" hidden="false" customHeight="false" outlineLevel="0" collapsed="false">
      <c r="A23" s="4" t="n">
        <v>19</v>
      </c>
      <c r="B23" s="4" t="s">
        <v>51</v>
      </c>
      <c r="C23" s="4" t="s">
        <v>101</v>
      </c>
      <c r="D23" s="9" t="n">
        <f aca="false">INDEX(Kebutuhan!$E$5:$E$24,MATCH($B23,Kebutuhan!$C$5:$C$24,0))</f>
        <v>450</v>
      </c>
      <c r="E23" s="4" t="n">
        <f aca="false">INDEX(Kebutuhan!$H$5:$H$24,MATCH($B23,Kebutuhan!$C$5:$C$24,0))</f>
        <v>23</v>
      </c>
      <c r="F23" s="9" t="n">
        <f aca="false">INDEX(Kebutuhan!$G$5:$G$24,MATCH($B23,Kebutuhan!$C$5:$C$24,0))</f>
        <v>512</v>
      </c>
      <c r="G23" s="8" t="n">
        <v>163840</v>
      </c>
      <c r="H23" s="4" t="str">
        <f aca="false">"10."&amp;(Info!$B$5+INT((G23)/65536))&amp;"."&amp;INT(MOD((G23),65536)/256)&amp;"."&amp;MOD((G23),256)</f>
        <v>10.18.128.0</v>
      </c>
      <c r="I23" s="4" t="str">
        <f aca="false">INDEX(Kebutuhan!$I$5:$I$24,MATCH($B23,Kebutuhan!$C$5:$C$24,0))</f>
        <v>255.255.254.0</v>
      </c>
      <c r="J23" s="4" t="str">
        <f aca="false">"10."&amp;(Info!$B$5+INT((G23+1)/65536))&amp;"."&amp;INT(MOD((G23+1),65536)/256)&amp;"."&amp;MOD((G23+1),256)&amp;" – "&amp;"10."&amp;(Info!$B$5+INT((G23+F23-2)/65536))&amp;"."&amp;INT(MOD((G23+F23-2),65536)/256)&amp;"."&amp;MOD((G23+F23-2),256)</f>
        <v>10.18.128.1 – 10.18.129.254</v>
      </c>
      <c r="K23" s="4" t="str">
        <f aca="false">"10."&amp;(Info!$B$5+INT((G23+F23-1)/65536))&amp;"."&amp;INT(MOD((G23+F23-1),65536)/256)&amp;"."&amp;MOD((G23+F23-1),256)</f>
        <v>10.18.129.255</v>
      </c>
      <c r="L23" s="4" t="str">
        <f aca="false">IF(INDEX(Kebutuhan!$D$5:$D$24,MATCH($B23,Kebutuhan!$C$5:$C$24,0))="Link","—","10."&amp;(Info!$B$5+INT((G23+1)/65536))&amp;"."&amp;INT(MOD((G23+1),65536)/256)&amp;"."&amp;MOD((G23+1),256))</f>
        <v>10.18.128.1</v>
      </c>
      <c r="M23" s="4" t="str">
        <f aca="false">IF(MOD(G23,F23)=0,"OK","TIDAK ALIGNED")</f>
        <v>OK</v>
      </c>
      <c r="N23" s="4" t="str">
        <f aca="false">IF(G23&gt;=G22+F22,"OK","OVERLAP")</f>
        <v>OK</v>
      </c>
    </row>
    <row r="24" customFormat="false" ht="15" hidden="false" customHeight="false" outlineLevel="0" collapsed="false">
      <c r="A24" s="4" t="n">
        <v>20</v>
      </c>
      <c r="B24" s="4" t="s">
        <v>68</v>
      </c>
      <c r="C24" s="4" t="s">
        <v>101</v>
      </c>
      <c r="D24" s="9" t="n">
        <f aca="false">INDEX(Kebutuhan!$E$5:$E$24,MATCH($B24,Kebutuhan!$C$5:$C$24,0))</f>
        <v>2</v>
      </c>
      <c r="E24" s="4" t="n">
        <f aca="false">INDEX(Kebutuhan!$H$5:$H$24,MATCH($B24,Kebutuhan!$C$5:$C$24,0))</f>
        <v>30</v>
      </c>
      <c r="F24" s="9" t="n">
        <f aca="false">INDEX(Kebutuhan!$G$5:$G$24,MATCH($B24,Kebutuhan!$C$5:$C$24,0))</f>
        <v>4</v>
      </c>
      <c r="G24" s="8" t="n">
        <v>164352</v>
      </c>
      <c r="H24" s="4" t="str">
        <f aca="false">"10."&amp;(Info!$B$5+INT((G24)/65536))&amp;"."&amp;INT(MOD((G24),65536)/256)&amp;"."&amp;MOD((G24),256)</f>
        <v>10.18.130.0</v>
      </c>
      <c r="I24" s="4" t="str">
        <f aca="false">INDEX(Kebutuhan!$I$5:$I$24,MATCH($B24,Kebutuhan!$C$5:$C$24,0))</f>
        <v>255.255.255.252</v>
      </c>
      <c r="J24" s="4" t="str">
        <f aca="false">"10."&amp;(Info!$B$5+INT((G24+1)/65536))&amp;"."&amp;INT(MOD((G24+1),65536)/256)&amp;"."&amp;MOD((G24+1),256)&amp;" – "&amp;"10."&amp;(Info!$B$5+INT((G24+F24-2)/65536))&amp;"."&amp;INT(MOD((G24+F24-2),65536)/256)&amp;"."&amp;MOD((G24+F24-2),256)</f>
        <v>10.18.130.1 – 10.18.130.2</v>
      </c>
      <c r="K24" s="4" t="str">
        <f aca="false">"10."&amp;(Info!$B$5+INT((G24+F24-1)/65536))&amp;"."&amp;INT(MOD((G24+F24-1),65536)/256)&amp;"."&amp;MOD((G24+F24-1),256)</f>
        <v>10.18.130.3</v>
      </c>
      <c r="L24" s="4" t="str">
        <f aca="false">IF(INDEX(Kebutuhan!$D$5:$D$24,MATCH($B24,Kebutuhan!$C$5:$C$24,0))="Link","—","10."&amp;(Info!$B$5+INT((G24+1)/65536))&amp;"."&amp;INT(MOD((G24+1),65536)/256)&amp;"."&amp;MOD((G24+1),256))</f>
        <v>—</v>
      </c>
      <c r="M24" s="4" t="str">
        <f aca="false">IF(MOD(G24,F24)=0,"OK","TIDAK ALIGNED")</f>
        <v>OK</v>
      </c>
      <c r="N24" s="4" t="str">
        <f aca="false">IF(G24&gt;=G23+F23,"OK","OVERLAP")</f>
        <v>OK</v>
      </c>
    </row>
    <row r="26" customFormat="false" ht="15" hidden="false" customHeight="false" outlineLevel="0" collapsed="false">
      <c r="A26" s="12" t="s">
        <v>89</v>
      </c>
      <c r="B26" s="13" t="n">
        <f aca="false">SUM(F5:F24)</f>
        <v>61752</v>
      </c>
    </row>
    <row r="27" customFormat="false" ht="15" hidden="false" customHeight="false" outlineLevel="0" collapsed="false">
      <c r="A27" s="12" t="s">
        <v>90</v>
      </c>
      <c r="B27" s="13" t="n">
        <f aca="false">SUM(D5:D24)</f>
        <v>42092</v>
      </c>
    </row>
    <row r="28" customFormat="false" ht="15" hidden="false" customHeight="false" outlineLevel="0" collapsed="false">
      <c r="A28" s="12" t="s">
        <v>103</v>
      </c>
      <c r="B28" s="13" t="n">
        <f aca="false">Supernet!$D$5</f>
        <v>14</v>
      </c>
    </row>
    <row r="29" customFormat="false" ht="15" hidden="false" customHeight="false" outlineLevel="0" collapsed="false">
      <c r="A29" s="12" t="s">
        <v>92</v>
      </c>
      <c r="B29" s="13" t="n">
        <f aca="false">2^(32-B28)</f>
        <v>262144</v>
      </c>
    </row>
    <row r="30" customFormat="false" ht="15" hidden="false" customHeight="false" outlineLevel="0" collapsed="false">
      <c r="A30" s="12" t="s">
        <v>93</v>
      </c>
      <c r="B30" s="13" t="str">
        <f aca="false">"10."&amp;Info!$B$5&amp;".0.0/"&amp;B28</f>
        <v>10.16.0.0/14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34"/>
    <col collapsed="false" customWidth="true" hidden="false" outlineLevel="0" max="8" min="8" style="0" width="14"/>
    <col collapsed="false" customWidth="true" hidden="false" outlineLevel="0" max="9" min="9" style="0" width="13"/>
  </cols>
  <sheetData>
    <row r="1" customFormat="false" ht="16.1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15" hidden="false" customHeight="false" outlineLevel="0" collapsed="false">
      <c r="A4" s="3" t="s">
        <v>106</v>
      </c>
      <c r="B4" s="3" t="s">
        <v>107</v>
      </c>
      <c r="C4" s="3" t="s">
        <v>14</v>
      </c>
      <c r="D4" s="3" t="s">
        <v>40</v>
      </c>
      <c r="E4" s="3" t="s">
        <v>81</v>
      </c>
      <c r="F4" s="3" t="s">
        <v>108</v>
      </c>
      <c r="G4" s="3" t="s">
        <v>109</v>
      </c>
      <c r="H4" s="3" t="s">
        <v>110</v>
      </c>
      <c r="I4" s="3" t="s">
        <v>86</v>
      </c>
    </row>
    <row r="5" customFormat="false" ht="15" hidden="false" customHeight="false" outlineLevel="0" collapsed="false">
      <c r="A5" s="4" t="n">
        <v>0</v>
      </c>
      <c r="B5" s="4" t="s">
        <v>111</v>
      </c>
      <c r="C5" s="4" t="s">
        <v>112</v>
      </c>
      <c r="D5" s="5" t="n">
        <v>14</v>
      </c>
      <c r="E5" s="8" t="n">
        <v>0</v>
      </c>
      <c r="F5" s="4" t="str">
        <f aca="false">"10."&amp;(Info!$B$5+INT((E5)/65536))&amp;"."&amp;INT(MOD((E5),65536)/256)&amp;"."&amp;MOD((E5),256)&amp;"/"&amp;D5</f>
        <v>10.16.0.0/14</v>
      </c>
      <c r="G5" s="4" t="str">
        <f aca="false">"10."&amp;(Info!$B$5+INT((E5)/65536))&amp;"."&amp;INT(MOD((E5),65536)/256)&amp;"."&amp;MOD((E5),256)&amp;" – "&amp;"10."&amp;(Info!$B$5+INT((E5+H5-1)/65536))&amp;"."&amp;INT(MOD((E5+H5-1),65536)/256)&amp;"."&amp;MOD((E5+H5-1),256)</f>
        <v>10.16.0.0 – 10.19.255.255</v>
      </c>
      <c r="H5" s="9" t="n">
        <f aca="false">2^(32-D5)</f>
        <v>262144</v>
      </c>
      <c r="I5" s="4" t="str">
        <f aca="false">IF(MOD(E5,H5)=0,"OK","TIDAK ALIGNED")</f>
        <v>OK</v>
      </c>
    </row>
    <row r="6" customFormat="false" ht="15" hidden="false" customHeight="false" outlineLevel="0" collapsed="false">
      <c r="A6" s="4" t="n">
        <v>1</v>
      </c>
      <c r="B6" s="4" t="s">
        <v>113</v>
      </c>
      <c r="C6" s="4" t="s">
        <v>114</v>
      </c>
      <c r="D6" s="5" t="n">
        <v>15</v>
      </c>
      <c r="E6" s="8" t="n">
        <v>0</v>
      </c>
      <c r="F6" s="4" t="str">
        <f aca="false">"10."&amp;(Info!$B$5+INT((E6)/65536))&amp;"."&amp;INT(MOD((E6),65536)/256)&amp;"."&amp;MOD((E6),256)&amp;"/"&amp;D6</f>
        <v>10.16.0.0/15</v>
      </c>
      <c r="G6" s="4" t="str">
        <f aca="false">"10."&amp;(Info!$B$5+INT((E6)/65536))&amp;"."&amp;INT(MOD((E6),65536)/256)&amp;"."&amp;MOD((E6),256)&amp;" – "&amp;"10."&amp;(Info!$B$5+INT((E6+H6-1)/65536))&amp;"."&amp;INT(MOD((E6+H6-1),65536)/256)&amp;"."&amp;MOD((E6+H6-1),256)</f>
        <v>10.16.0.0 – 10.17.255.255</v>
      </c>
      <c r="H6" s="9" t="n">
        <f aca="false">2^(32-D6)</f>
        <v>131072</v>
      </c>
      <c r="I6" s="4" t="str">
        <f aca="false">IF(MOD(E6,H6)=0,"OK","TIDAK ALIGNED")</f>
        <v>OK</v>
      </c>
    </row>
    <row r="7" customFormat="false" ht="15" hidden="false" customHeight="false" outlineLevel="0" collapsed="false">
      <c r="A7" s="4" t="n">
        <v>2</v>
      </c>
      <c r="B7" s="4" t="s">
        <v>115</v>
      </c>
      <c r="C7" s="4" t="s">
        <v>116</v>
      </c>
      <c r="D7" s="5" t="n">
        <v>16</v>
      </c>
      <c r="E7" s="8" t="n">
        <v>0</v>
      </c>
      <c r="F7" s="4" t="str">
        <f aca="false">"10."&amp;(Info!$B$5+INT((E7)/65536))&amp;"."&amp;INT(MOD((E7),65536)/256)&amp;"."&amp;MOD((E7),256)&amp;"/"&amp;D7</f>
        <v>10.16.0.0/16</v>
      </c>
      <c r="G7" s="4" t="str">
        <f aca="false">"10."&amp;(Info!$B$5+INT((E7)/65536))&amp;"."&amp;INT(MOD((E7),65536)/256)&amp;"."&amp;MOD((E7),256)&amp;" – "&amp;"10."&amp;(Info!$B$5+INT((E7+H7-1)/65536))&amp;"."&amp;INT(MOD((E7+H7-1),65536)/256)&amp;"."&amp;MOD((E7+H7-1),256)</f>
        <v>10.16.0.0 – 10.16.255.255</v>
      </c>
      <c r="H7" s="9" t="n">
        <f aca="false">2^(32-D7)</f>
        <v>65536</v>
      </c>
      <c r="I7" s="4" t="str">
        <f aca="false">IF(MOD(E7,H7)=0,"OK","TIDAK ALIGNED")</f>
        <v>OK</v>
      </c>
    </row>
    <row r="8" customFormat="false" ht="15" hidden="false" customHeight="false" outlineLevel="0" collapsed="false">
      <c r="A8" s="4" t="n">
        <v>3</v>
      </c>
      <c r="B8" s="4" t="s">
        <v>117</v>
      </c>
      <c r="C8" s="4" t="s">
        <v>118</v>
      </c>
      <c r="D8" s="5" t="n">
        <v>17</v>
      </c>
      <c r="E8" s="8" t="n">
        <v>0</v>
      </c>
      <c r="F8" s="4" t="str">
        <f aca="false">"10."&amp;(Info!$B$5+INT((E8)/65536))&amp;"."&amp;INT(MOD((E8),65536)/256)&amp;"."&amp;MOD((E8),256)&amp;"/"&amp;D8</f>
        <v>10.16.0.0/17</v>
      </c>
      <c r="G8" s="4" t="str">
        <f aca="false">"10."&amp;(Info!$B$5+INT((E8)/65536))&amp;"."&amp;INT(MOD((E8),65536)/256)&amp;"."&amp;MOD((E8),256)&amp;" – "&amp;"10."&amp;(Info!$B$5+INT((E8+H8-1)/65536))&amp;"."&amp;INT(MOD((E8+H8-1),65536)/256)&amp;"."&amp;MOD((E8+H8-1),256)</f>
        <v>10.16.0.0 – 10.16.127.255</v>
      </c>
      <c r="H8" s="9" t="n">
        <f aca="false">2^(32-D8)</f>
        <v>32768</v>
      </c>
      <c r="I8" s="4" t="str">
        <f aca="false">IF(MOD(E8,H8)=0,"OK","TIDAK ALIGNED")</f>
        <v>OK</v>
      </c>
    </row>
    <row r="9" customFormat="false" ht="15" hidden="false" customHeight="false" outlineLevel="0" collapsed="false">
      <c r="A9" s="4" t="n">
        <v>4</v>
      </c>
      <c r="B9" s="14" t="s">
        <v>119</v>
      </c>
      <c r="C9" s="4" t="s">
        <v>120</v>
      </c>
      <c r="D9" s="5" t="n">
        <v>18</v>
      </c>
      <c r="E9" s="8" t="n">
        <v>0</v>
      </c>
      <c r="F9" s="4" t="str">
        <f aca="false">"10."&amp;(Info!$B$5+INT((E9)/65536))&amp;"."&amp;INT(MOD((E9),65536)/256)&amp;"."&amp;MOD((E9),256)&amp;"/"&amp;D9</f>
        <v>10.16.0.0/18</v>
      </c>
      <c r="G9" s="4" t="str">
        <f aca="false">"10."&amp;(Info!$B$5+INT((E9)/65536))&amp;"."&amp;INT(MOD((E9),65536)/256)&amp;"."&amp;MOD((E9),256)&amp;" – "&amp;"10."&amp;(Info!$B$5+INT((E9+H9-1)/65536))&amp;"."&amp;INT(MOD((E9+H9-1),65536)/256)&amp;"."&amp;MOD((E9+H9-1),256)</f>
        <v>10.16.0.0 – 10.16.63.255</v>
      </c>
      <c r="H9" s="9" t="n">
        <f aca="false">2^(32-D9)</f>
        <v>16384</v>
      </c>
      <c r="I9" s="4" t="str">
        <f aca="false">IF(MOD(E9,H9)=0,"OK","TIDAK ALIGNED")</f>
        <v>OK</v>
      </c>
    </row>
    <row r="10" customFormat="false" ht="15" hidden="false" customHeight="false" outlineLevel="0" collapsed="false">
      <c r="A10" s="4" t="n">
        <v>5</v>
      </c>
      <c r="B10" s="4" t="s">
        <v>121</v>
      </c>
      <c r="C10" s="4" t="s">
        <v>122</v>
      </c>
      <c r="D10" s="5" t="n">
        <v>23</v>
      </c>
      <c r="E10" s="8" t="n">
        <v>8192</v>
      </c>
      <c r="F10" s="4" t="str">
        <f aca="false">"10."&amp;(Info!$B$5+INT((E10)/65536))&amp;"."&amp;INT(MOD((E10),65536)/256)&amp;"."&amp;MOD((E10),256)&amp;"/"&amp;D10</f>
        <v>10.16.32.0/23</v>
      </c>
      <c r="G10" s="4" t="str">
        <f aca="false">"10."&amp;(Info!$B$5+INT((E10)/65536))&amp;"."&amp;INT(MOD((E10),65536)/256)&amp;"."&amp;MOD((E10),256)&amp;" – "&amp;"10."&amp;(Info!$B$5+INT((E10+H10-1)/65536))&amp;"."&amp;INT(MOD((E10+H10-1),65536)/256)&amp;"."&amp;MOD((E10+H10-1),256)</f>
        <v>10.16.32.0 – 10.16.33.255</v>
      </c>
      <c r="H10" s="9" t="n">
        <f aca="false">2^(32-D10)</f>
        <v>512</v>
      </c>
      <c r="I10" s="4" t="str">
        <f aca="false">IF(MOD(E10,H10)=0,"OK","TIDAK ALIGNED")</f>
        <v>OK</v>
      </c>
    </row>
    <row r="11" customFormat="false" ht="15" hidden="false" customHeight="false" outlineLevel="0" collapsed="false">
      <c r="A11" s="4" t="n">
        <v>4</v>
      </c>
      <c r="B11" s="14" t="s">
        <v>123</v>
      </c>
      <c r="C11" s="4" t="s">
        <v>124</v>
      </c>
      <c r="D11" s="5" t="n">
        <v>18</v>
      </c>
      <c r="E11" s="8" t="n">
        <v>16384</v>
      </c>
      <c r="F11" s="4" t="str">
        <f aca="false">"10."&amp;(Info!$B$5+INT((E11)/65536))&amp;"."&amp;INT(MOD((E11),65536)/256)&amp;"."&amp;MOD((E11),256)&amp;"/"&amp;D11</f>
        <v>10.16.64.0/18</v>
      </c>
      <c r="G11" s="4" t="str">
        <f aca="false">"10."&amp;(Info!$B$5+INT((E11)/65536))&amp;"."&amp;INT(MOD((E11),65536)/256)&amp;"."&amp;MOD((E11),256)&amp;" – "&amp;"10."&amp;(Info!$B$5+INT((E11+H11-1)/65536))&amp;"."&amp;INT(MOD((E11+H11-1),65536)/256)&amp;"."&amp;MOD((E11+H11-1),256)</f>
        <v>10.16.64.0 – 10.16.127.255</v>
      </c>
      <c r="H11" s="9" t="n">
        <f aca="false">2^(32-D11)</f>
        <v>16384</v>
      </c>
      <c r="I11" s="4" t="str">
        <f aca="false">IF(MOD(E11,H11)=0,"OK","TIDAK ALIGNED")</f>
        <v>OK</v>
      </c>
    </row>
    <row r="12" customFormat="false" ht="15" hidden="false" customHeight="false" outlineLevel="0" collapsed="false">
      <c r="A12" s="4" t="n">
        <v>5</v>
      </c>
      <c r="B12" s="4" t="s">
        <v>125</v>
      </c>
      <c r="C12" s="4" t="s">
        <v>126</v>
      </c>
      <c r="D12" s="5" t="n">
        <v>23</v>
      </c>
      <c r="E12" s="8" t="n">
        <v>24576</v>
      </c>
      <c r="F12" s="4" t="str">
        <f aca="false">"10."&amp;(Info!$B$5+INT((E12)/65536))&amp;"."&amp;INT(MOD((E12),65536)/256)&amp;"."&amp;MOD((E12),256)&amp;"/"&amp;D12</f>
        <v>10.16.96.0/23</v>
      </c>
      <c r="G12" s="4" t="str">
        <f aca="false">"10."&amp;(Info!$B$5+INT((E12)/65536))&amp;"."&amp;INT(MOD((E12),65536)/256)&amp;"."&amp;MOD((E12),256)&amp;" – "&amp;"10."&amp;(Info!$B$5+INT((E12+H12-1)/65536))&amp;"."&amp;INT(MOD((E12+H12-1),65536)/256)&amp;"."&amp;MOD((E12+H12-1),256)</f>
        <v>10.16.96.0 – 10.16.97.255</v>
      </c>
      <c r="H12" s="9" t="n">
        <f aca="false">2^(32-D12)</f>
        <v>512</v>
      </c>
      <c r="I12" s="4" t="str">
        <f aca="false">IF(MOD(E12,H12)=0,"OK","TIDAK ALIGNED")</f>
        <v>OK</v>
      </c>
    </row>
    <row r="13" customFormat="false" ht="15" hidden="false" customHeight="false" outlineLevel="0" collapsed="false">
      <c r="A13" s="4" t="n">
        <v>3</v>
      </c>
      <c r="B13" s="4" t="s">
        <v>127</v>
      </c>
      <c r="C13" s="4" t="s">
        <v>128</v>
      </c>
      <c r="D13" s="5" t="n">
        <v>17</v>
      </c>
      <c r="E13" s="8" t="n">
        <v>32768</v>
      </c>
      <c r="F13" s="4" t="str">
        <f aca="false">"10."&amp;(Info!$B$5+INT((E13)/65536))&amp;"."&amp;INT(MOD((E13),65536)/256)&amp;"."&amp;MOD((E13),256)&amp;"/"&amp;D13</f>
        <v>10.16.128.0/17</v>
      </c>
      <c r="G13" s="4" t="str">
        <f aca="false">"10."&amp;(Info!$B$5+INT((E13)/65536))&amp;"."&amp;INT(MOD((E13),65536)/256)&amp;"."&amp;MOD((E13),256)&amp;" – "&amp;"10."&amp;(Info!$B$5+INT((E13+H13-1)/65536))&amp;"."&amp;INT(MOD((E13+H13-1),65536)/256)&amp;"."&amp;MOD((E13+H13-1),256)</f>
        <v>10.16.128.0 – 10.16.255.255</v>
      </c>
      <c r="H13" s="9" t="n">
        <f aca="false">2^(32-D13)</f>
        <v>32768</v>
      </c>
      <c r="I13" s="4" t="str">
        <f aca="false">IF(MOD(E13,H13)=0,"OK","TIDAK ALIGNED")</f>
        <v>OK</v>
      </c>
    </row>
    <row r="14" customFormat="false" ht="15" hidden="false" customHeight="false" outlineLevel="0" collapsed="false">
      <c r="A14" s="4" t="n">
        <v>4</v>
      </c>
      <c r="B14" s="14" t="s">
        <v>129</v>
      </c>
      <c r="C14" s="4" t="s">
        <v>130</v>
      </c>
      <c r="D14" s="5" t="n">
        <v>18</v>
      </c>
      <c r="E14" s="8" t="n">
        <v>32768</v>
      </c>
      <c r="F14" s="4" t="str">
        <f aca="false">"10."&amp;(Info!$B$5+INT((E14)/65536))&amp;"."&amp;INT(MOD((E14),65536)/256)&amp;"."&amp;MOD((E14),256)&amp;"/"&amp;D14</f>
        <v>10.16.128.0/18</v>
      </c>
      <c r="G14" s="4" t="str">
        <f aca="false">"10."&amp;(Info!$B$5+INT((E14)/65536))&amp;"."&amp;INT(MOD((E14),65536)/256)&amp;"."&amp;MOD((E14),256)&amp;" – "&amp;"10."&amp;(Info!$B$5+INT((E14+H14-1)/65536))&amp;"."&amp;INT(MOD((E14+H14-1),65536)/256)&amp;"."&amp;MOD((E14+H14-1),256)</f>
        <v>10.16.128.0 – 10.16.191.255</v>
      </c>
      <c r="H14" s="9" t="n">
        <f aca="false">2^(32-D14)</f>
        <v>16384</v>
      </c>
      <c r="I14" s="4" t="str">
        <f aca="false">IF(MOD(E14,H14)=0,"OK","TIDAK ALIGNED")</f>
        <v>OK</v>
      </c>
    </row>
    <row r="15" customFormat="false" ht="15" hidden="false" customHeight="false" outlineLevel="0" collapsed="false">
      <c r="A15" s="4" t="n">
        <v>5</v>
      </c>
      <c r="B15" s="4" t="s">
        <v>131</v>
      </c>
      <c r="C15" s="4" t="s">
        <v>132</v>
      </c>
      <c r="D15" s="5" t="n">
        <v>21</v>
      </c>
      <c r="E15" s="8" t="n">
        <v>40960</v>
      </c>
      <c r="F15" s="4" t="str">
        <f aca="false">"10."&amp;(Info!$B$5+INT((E15)/65536))&amp;"."&amp;INT(MOD((E15),65536)/256)&amp;"."&amp;MOD((E15),256)&amp;"/"&amp;D15</f>
        <v>10.16.160.0/21</v>
      </c>
      <c r="G15" s="4" t="str">
        <f aca="false">"10."&amp;(Info!$B$5+INT((E15)/65536))&amp;"."&amp;INT(MOD((E15),65536)/256)&amp;"."&amp;MOD((E15),256)&amp;" – "&amp;"10."&amp;(Info!$B$5+INT((E15+H15-1)/65536))&amp;"."&amp;INT(MOD((E15+H15-1),65536)/256)&amp;"."&amp;MOD((E15+H15-1),256)</f>
        <v>10.16.160.0 – 10.16.167.255</v>
      </c>
      <c r="H15" s="9" t="n">
        <f aca="false">2^(32-D15)</f>
        <v>2048</v>
      </c>
      <c r="I15" s="4" t="str">
        <f aca="false">IF(MOD(E15,H15)=0,"OK","TIDAK ALIGNED")</f>
        <v>OK</v>
      </c>
    </row>
    <row r="16" customFormat="false" ht="15" hidden="false" customHeight="false" outlineLevel="0" collapsed="false">
      <c r="A16" s="4" t="n">
        <v>4</v>
      </c>
      <c r="B16" s="14" t="s">
        <v>133</v>
      </c>
      <c r="C16" s="4" t="s">
        <v>134</v>
      </c>
      <c r="D16" s="5" t="n">
        <v>18</v>
      </c>
      <c r="E16" s="8" t="n">
        <v>49152</v>
      </c>
      <c r="F16" s="4" t="str">
        <f aca="false">"10."&amp;(Info!$B$5+INT((E16)/65536))&amp;"."&amp;INT(MOD((E16),65536)/256)&amp;"."&amp;MOD((E16),256)&amp;"/"&amp;D16</f>
        <v>10.16.192.0/18</v>
      </c>
      <c r="G16" s="4" t="str">
        <f aca="false">"10."&amp;(Info!$B$5+INT((E16)/65536))&amp;"."&amp;INT(MOD((E16),65536)/256)&amp;"."&amp;MOD((E16),256)&amp;" – "&amp;"10."&amp;(Info!$B$5+INT((E16+H16-1)/65536))&amp;"."&amp;INT(MOD((E16+H16-1),65536)/256)&amp;"."&amp;MOD((E16+H16-1),256)</f>
        <v>10.16.192.0 – 10.16.255.255</v>
      </c>
      <c r="H16" s="9" t="n">
        <f aca="false">2^(32-D16)</f>
        <v>16384</v>
      </c>
      <c r="I16" s="4" t="str">
        <f aca="false">IF(MOD(E16,H16)=0,"OK","TIDAK ALIGNED")</f>
        <v>OK</v>
      </c>
    </row>
    <row r="17" customFormat="false" ht="15" hidden="false" customHeight="false" outlineLevel="0" collapsed="false">
      <c r="A17" s="4" t="n">
        <v>5</v>
      </c>
      <c r="B17" s="4" t="s">
        <v>135</v>
      </c>
      <c r="C17" s="4" t="s">
        <v>136</v>
      </c>
      <c r="D17" s="5" t="n">
        <v>24</v>
      </c>
      <c r="E17" s="8" t="n">
        <v>57344</v>
      </c>
      <c r="F17" s="4" t="str">
        <f aca="false">"10."&amp;(Info!$B$5+INT((E17)/65536))&amp;"."&amp;INT(MOD((E17),65536)/256)&amp;"."&amp;MOD((E17),256)&amp;"/"&amp;D17</f>
        <v>10.16.224.0/24</v>
      </c>
      <c r="G17" s="4" t="str">
        <f aca="false">"10."&amp;(Info!$B$5+INT((E17)/65536))&amp;"."&amp;INT(MOD((E17),65536)/256)&amp;"."&amp;MOD((E17),256)&amp;" – "&amp;"10."&amp;(Info!$B$5+INT((E17+H17-1)/65536))&amp;"."&amp;INT(MOD((E17+H17-1),65536)/256)&amp;"."&amp;MOD((E17+H17-1),256)</f>
        <v>10.16.224.0 – 10.16.224.255</v>
      </c>
      <c r="H17" s="9" t="n">
        <f aca="false">2^(32-D17)</f>
        <v>256</v>
      </c>
      <c r="I17" s="4" t="str">
        <f aca="false">IF(MOD(E17,H17)=0,"OK","TIDAK ALIGNED")</f>
        <v>OK</v>
      </c>
    </row>
    <row r="18" customFormat="false" ht="15" hidden="false" customHeight="false" outlineLevel="0" collapsed="false">
      <c r="A18" s="4" t="n">
        <v>2</v>
      </c>
      <c r="B18" s="14" t="s">
        <v>137</v>
      </c>
      <c r="C18" s="4" t="s">
        <v>138</v>
      </c>
      <c r="D18" s="5" t="n">
        <v>20</v>
      </c>
      <c r="E18" s="8" t="n">
        <v>65536</v>
      </c>
      <c r="F18" s="4" t="str">
        <f aca="false">"10."&amp;(Info!$B$5+INT((E18)/65536))&amp;"."&amp;INT(MOD((E18),65536)/256)&amp;"."&amp;MOD((E18),256)&amp;"/"&amp;D18</f>
        <v>10.17.0.0/20</v>
      </c>
      <c r="G18" s="4" t="str">
        <f aca="false">"10."&amp;(Info!$B$5+INT((E18)/65536))&amp;"."&amp;INT(MOD((E18),65536)/256)&amp;"."&amp;MOD((E18),256)&amp;" – "&amp;"10."&amp;(Info!$B$5+INT((E18+H18-1)/65536))&amp;"."&amp;INT(MOD((E18+H18-1),65536)/256)&amp;"."&amp;MOD((E18+H18-1),256)</f>
        <v>10.17.0.0 – 10.17.15.255</v>
      </c>
      <c r="H18" s="9" t="n">
        <f aca="false">2^(32-D18)</f>
        <v>4096</v>
      </c>
      <c r="I18" s="4" t="str">
        <f aca="false">IF(MOD(E18,H18)=0,"OK","TIDAK ALIGNED")</f>
        <v>OK</v>
      </c>
    </row>
    <row r="19" customFormat="false" ht="15" hidden="false" customHeight="false" outlineLevel="0" collapsed="false">
      <c r="A19" s="4" t="n">
        <v>1</v>
      </c>
      <c r="B19" s="14" t="s">
        <v>139</v>
      </c>
      <c r="C19" s="4" t="s">
        <v>140</v>
      </c>
      <c r="D19" s="5" t="n">
        <v>16</v>
      </c>
      <c r="E19" s="8" t="n">
        <v>131072</v>
      </c>
      <c r="F19" s="4" t="str">
        <f aca="false">"10."&amp;(Info!$B$5+INT((E19)/65536))&amp;"."&amp;INT(MOD((E19),65536)/256)&amp;"."&amp;MOD((E19),256)&amp;"/"&amp;D19</f>
        <v>10.18.0.0/16</v>
      </c>
      <c r="G19" s="4" t="str">
        <f aca="false">"10."&amp;(Info!$B$5+INT((E19)/65536))&amp;"."&amp;INT(MOD((E19),65536)/256)&amp;"."&amp;MOD((E19),256)&amp;" – "&amp;"10."&amp;(Info!$B$5+INT((E19+H19-1)/65536))&amp;"."&amp;INT(MOD((E19+H19-1),65536)/256)&amp;"."&amp;MOD((E19+H19-1),256)</f>
        <v>10.18.0.0 – 10.18.255.255</v>
      </c>
      <c r="H19" s="9" t="n">
        <f aca="false">2^(32-D19)</f>
        <v>65536</v>
      </c>
      <c r="I19" s="4" t="str">
        <f aca="false">IF(MOD(E19,H19)=0,"OK","TIDAK ALIGNED")</f>
        <v>OK</v>
      </c>
    </row>
    <row r="20" customFormat="false" ht="15" hidden="false" customHeight="false" outlineLevel="0" collapsed="false">
      <c r="A20" s="4" t="n">
        <v>2</v>
      </c>
      <c r="B20" s="4" t="s">
        <v>141</v>
      </c>
      <c r="C20" s="4" t="s">
        <v>142</v>
      </c>
      <c r="D20" s="5" t="n">
        <v>17</v>
      </c>
      <c r="E20" s="8" t="n">
        <v>131072</v>
      </c>
      <c r="F20" s="4" t="str">
        <f aca="false">"10."&amp;(Info!$B$5+INT((E20)/65536))&amp;"."&amp;INT(MOD((E20),65536)/256)&amp;"."&amp;MOD((E20),256)&amp;"/"&amp;D20</f>
        <v>10.18.0.0/17</v>
      </c>
      <c r="G20" s="4" t="str">
        <f aca="false">"10."&amp;(Info!$B$5+INT((E20)/65536))&amp;"."&amp;INT(MOD((E20),65536)/256)&amp;"."&amp;MOD((E20),256)&amp;" – "&amp;"10."&amp;(Info!$B$5+INT((E20+H20-1)/65536))&amp;"."&amp;INT(MOD((E20+H20-1),65536)/256)&amp;"."&amp;MOD((E20+H20-1),256)</f>
        <v>10.18.0.0 – 10.18.127.255</v>
      </c>
      <c r="H20" s="9" t="n">
        <f aca="false">2^(32-D20)</f>
        <v>32768</v>
      </c>
      <c r="I20" s="4" t="str">
        <f aca="false">IF(MOD(E20,H20)=0,"OK","TIDAK ALIGNED")</f>
        <v>OK</v>
      </c>
    </row>
    <row r="21" customFormat="false" ht="15" hidden="false" customHeight="false" outlineLevel="0" collapsed="false">
      <c r="A21" s="4" t="n">
        <v>3</v>
      </c>
      <c r="B21" s="14" t="s">
        <v>143</v>
      </c>
      <c r="C21" s="4" t="s">
        <v>144</v>
      </c>
      <c r="D21" s="5" t="n">
        <v>18</v>
      </c>
      <c r="E21" s="8" t="n">
        <v>147456</v>
      </c>
      <c r="F21" s="4" t="str">
        <f aca="false">"10."&amp;(Info!$B$5+INT((E21)/65536))&amp;"."&amp;INT(MOD((E21),65536)/256)&amp;"."&amp;MOD((E21),256)&amp;"/"&amp;D21</f>
        <v>10.18.64.0/18</v>
      </c>
      <c r="G21" s="4" t="str">
        <f aca="false">"10."&amp;(Info!$B$5+INT((E21)/65536))&amp;"."&amp;INT(MOD((E21),65536)/256)&amp;"."&amp;MOD((E21),256)&amp;" – "&amp;"10."&amp;(Info!$B$5+INT((E21+H21-1)/65536))&amp;"."&amp;INT(MOD((E21+H21-1),65536)/256)&amp;"."&amp;MOD((E21+H21-1),256)</f>
        <v>10.18.64.0 – 10.18.127.255</v>
      </c>
      <c r="H21" s="9" t="n">
        <f aca="false">2^(32-D21)</f>
        <v>16384</v>
      </c>
      <c r="I21" s="4" t="str">
        <f aca="false">IF(MOD(E21,H21)=0,"OK","TIDAK ALIGNED")</f>
        <v>OK</v>
      </c>
    </row>
    <row r="22" customFormat="false" ht="15" hidden="false" customHeight="false" outlineLevel="0" collapsed="false">
      <c r="A22" s="4" t="n">
        <v>4</v>
      </c>
      <c r="B22" s="4" t="s">
        <v>145</v>
      </c>
      <c r="C22" s="4" t="s">
        <v>146</v>
      </c>
      <c r="D22" s="5" t="n">
        <v>24</v>
      </c>
      <c r="E22" s="8" t="n">
        <v>155648</v>
      </c>
      <c r="F22" s="4" t="str">
        <f aca="false">"10."&amp;(Info!$B$5+INT((E22)/65536))&amp;"."&amp;INT(MOD((E22),65536)/256)&amp;"."&amp;MOD((E22),256)&amp;"/"&amp;D22</f>
        <v>10.18.96.0/24</v>
      </c>
      <c r="G22" s="4" t="str">
        <f aca="false">"10."&amp;(Info!$B$5+INT((E22)/65536))&amp;"."&amp;INT(MOD((E22),65536)/256)&amp;"."&amp;MOD((E22),256)&amp;" – "&amp;"10."&amp;(Info!$B$5+INT((E22+H22-1)/65536))&amp;"."&amp;INT(MOD((E22+H22-1),65536)/256)&amp;"."&amp;MOD((E22+H22-1),256)</f>
        <v>10.18.96.0 – 10.18.96.255</v>
      </c>
      <c r="H22" s="9" t="n">
        <f aca="false">2^(32-D22)</f>
        <v>256</v>
      </c>
      <c r="I22" s="4" t="str">
        <f aca="false">IF(MOD(E22,H22)=0,"OK","TIDAK ALIGNED")</f>
        <v>OK</v>
      </c>
    </row>
    <row r="23" customFormat="false" ht="15" hidden="false" customHeight="false" outlineLevel="0" collapsed="false">
      <c r="A23" s="4" t="n">
        <v>2</v>
      </c>
      <c r="B23" s="4" t="s">
        <v>147</v>
      </c>
      <c r="C23" s="4" t="s">
        <v>148</v>
      </c>
      <c r="D23" s="5" t="n">
        <v>22</v>
      </c>
      <c r="E23" s="8" t="n">
        <v>163840</v>
      </c>
      <c r="F23" s="4" t="str">
        <f aca="false">"10."&amp;(Info!$B$5+INT((E23)/65536))&amp;"."&amp;INT(MOD((E23),65536)/256)&amp;"."&amp;MOD((E23),256)&amp;"/"&amp;D23</f>
        <v>10.18.128.0/22</v>
      </c>
      <c r="G23" s="4" t="str">
        <f aca="false">"10."&amp;(Info!$B$5+INT((E23)/65536))&amp;"."&amp;INT(MOD((E23),65536)/256)&amp;"."&amp;MOD((E23),256)&amp;" – "&amp;"10."&amp;(Info!$B$5+INT((E23+H23-1)/65536))&amp;"."&amp;INT(MOD((E23+H23-1),65536)/256)&amp;"."&amp;MOD((E23+H23-1),256)</f>
        <v>10.18.128.0 – 10.18.131.255</v>
      </c>
      <c r="H23" s="9" t="n">
        <f aca="false">2^(32-D23)</f>
        <v>1024</v>
      </c>
      <c r="I23" s="4" t="str">
        <f aca="false">IF(MOD(E23,H23)=0,"OK","TIDAK ALIGNED")</f>
        <v>OK</v>
      </c>
    </row>
    <row r="26" customFormat="false" ht="15" hidden="false" customHeight="false" outlineLevel="0" collapsed="false">
      <c r="A26" s="6" t="s">
        <v>149</v>
      </c>
    </row>
    <row r="27" customFormat="false" ht="15" hidden="false" customHeight="false" outlineLevel="0" collapsed="false">
      <c r="A27" s="3"/>
      <c r="B27" s="3" t="s">
        <v>34</v>
      </c>
      <c r="C27" s="3" t="s">
        <v>150</v>
      </c>
      <c r="D27" s="3" t="s">
        <v>151</v>
      </c>
      <c r="E27" s="3"/>
      <c r="F27" s="3" t="s">
        <v>152</v>
      </c>
      <c r="G27" s="3" t="s">
        <v>153</v>
      </c>
    </row>
    <row r="28" customFormat="false" ht="15" hidden="false" customHeight="false" outlineLevel="0" collapsed="false">
      <c r="A28" s="4"/>
      <c r="B28" s="4" t="s">
        <v>42</v>
      </c>
      <c r="C28" s="4" t="s">
        <v>154</v>
      </c>
      <c r="D28" s="4" t="str">
        <f aca="false">F9</f>
        <v>10.16.0.0/18</v>
      </c>
      <c r="E28" s="4"/>
      <c r="F28" s="4" t="str">
        <f aca="false">"10."&amp;(Info!$B$5+INT((INDEX(CIDR!$G$5:$G$24,MATCH("L1 PUSAT-DC",CIDR!$B$5:$B$24,0))+2)/65536))&amp;"."&amp;INT(MOD((INDEX(CIDR!$G$5:$G$24,MATCH("L1 PUSAT-DC",CIDR!$B$5:$B$24,0))+2),65536)/256)&amp;"."&amp;MOD((INDEX(CIDR!$G$5:$G$24,MATCH("L1 PUSAT-DC",CIDR!$B$5:$B$24,0))+2),256)</f>
        <v>10.16.33.2</v>
      </c>
      <c r="G28" s="4" t="s">
        <v>155</v>
      </c>
    </row>
    <row r="29" customFormat="false" ht="15" hidden="false" customHeight="false" outlineLevel="0" collapsed="false">
      <c r="A29" s="4"/>
      <c r="B29" s="4" t="s">
        <v>42</v>
      </c>
      <c r="C29" s="4" t="s">
        <v>156</v>
      </c>
      <c r="D29" s="4" t="str">
        <f aca="false">F11</f>
        <v>10.16.64.0/18</v>
      </c>
      <c r="E29" s="4"/>
      <c r="F29" s="4" t="str">
        <f aca="false">"10."&amp;(Info!$B$5+INT((INDEX(CIDR!$G$5:$G$24,MATCH("L5 PUSAT-BARAT",CIDR!$B$5:$B$24,0))+2)/65536))&amp;"."&amp;INT(MOD((INDEX(CIDR!$G$5:$G$24,MATCH("L5 PUSAT-BARAT",CIDR!$B$5:$B$24,0))+2),65536)/256)&amp;"."&amp;MOD((INDEX(CIDR!$G$5:$G$24,MATCH("L5 PUSAT-BARAT",CIDR!$B$5:$B$24,0))+2),256)</f>
        <v>10.16.97.2</v>
      </c>
      <c r="G29" s="4" t="s">
        <v>157</v>
      </c>
    </row>
    <row r="30" customFormat="false" ht="15" hidden="false" customHeight="false" outlineLevel="0" collapsed="false">
      <c r="A30" s="4"/>
      <c r="B30" s="4" t="s">
        <v>42</v>
      </c>
      <c r="C30" s="4" t="s">
        <v>158</v>
      </c>
      <c r="D30" s="4" t="str">
        <f aca="false">F14</f>
        <v>10.16.128.0/18</v>
      </c>
      <c r="E30" s="4"/>
      <c r="F30" s="4" t="str">
        <f aca="false">"10."&amp;(Info!$B$5+INT((INDEX(CIDR!$G$5:$G$24,MATCH("L4 PUSAT-TIMUR",CIDR!$B$5:$B$24,0))+2)/65536))&amp;"."&amp;INT(MOD((INDEX(CIDR!$G$5:$G$24,MATCH("L4 PUSAT-TIMUR",CIDR!$B$5:$B$24,0))+2),65536)/256)&amp;"."&amp;MOD((INDEX(CIDR!$G$5:$G$24,MATCH("L4 PUSAT-TIMUR",CIDR!$B$5:$B$24,0))+2),256)</f>
        <v>10.16.164.2</v>
      </c>
      <c r="G30" s="4" t="s">
        <v>159</v>
      </c>
    </row>
    <row r="31" customFormat="false" ht="15" hidden="false" customHeight="false" outlineLevel="0" collapsed="false">
      <c r="A31" s="4"/>
      <c r="B31" s="4" t="s">
        <v>42</v>
      </c>
      <c r="C31" s="4" t="s">
        <v>160</v>
      </c>
      <c r="D31" s="4" t="str">
        <f aca="false">F16</f>
        <v>10.16.192.0/18</v>
      </c>
      <c r="E31" s="4"/>
      <c r="F31" s="4" t="str">
        <f aca="false">"10."&amp;(Info!$B$5+INT((INDEX(CIDR!$G$5:$G$24,MATCH("L3 PUSAT-SELATAN",CIDR!$B$5:$B$24,0))+2)/65536))&amp;"."&amp;INT(MOD((INDEX(CIDR!$G$5:$G$24,MATCH("L3 PUSAT-SELATAN",CIDR!$B$5:$B$24,0))+2),65536)/256)&amp;"."&amp;MOD((INDEX(CIDR!$G$5:$G$24,MATCH("L3 PUSAT-SELATAN",CIDR!$B$5:$B$24,0))+2),256)</f>
        <v>10.16.224.130</v>
      </c>
      <c r="G31" s="4" t="s">
        <v>161</v>
      </c>
    </row>
    <row r="32" customFormat="false" ht="15" hidden="false" customHeight="false" outlineLevel="0" collapsed="false">
      <c r="A32" s="4"/>
      <c r="B32" s="4" t="s">
        <v>42</v>
      </c>
      <c r="C32" s="4" t="s">
        <v>162</v>
      </c>
      <c r="D32" s="4" t="str">
        <f aca="false">F19</f>
        <v>10.18.0.0/16</v>
      </c>
      <c r="E32" s="4"/>
      <c r="F32" s="4" t="str">
        <f aca="false">"10."&amp;(Info!$B$5+INT((INDEX(CIDR!$G$5:$G$24,MATCH("L2 PUSAT-UTARA",CIDR!$B$5:$B$24,0))+2)/65536))&amp;"."&amp;INT(MOD((INDEX(CIDR!$G$5:$G$24,MATCH("L2 PUSAT-UTARA",CIDR!$B$5:$B$24,0))+2),65536)/256)&amp;"."&amp;MOD((INDEX(CIDR!$G$5:$G$24,MATCH("L2 PUSAT-UTARA",CIDR!$B$5:$B$24,0))+2),256)</f>
        <v>10.18.130.2</v>
      </c>
      <c r="G32" s="4" t="s">
        <v>163</v>
      </c>
    </row>
    <row r="33" customFormat="false" ht="15" hidden="false" customHeight="false" outlineLevel="0" collapsed="false">
      <c r="A33" s="4"/>
      <c r="B33" s="4" t="s">
        <v>42</v>
      </c>
      <c r="C33" s="4" t="s">
        <v>164</v>
      </c>
      <c r="D33" s="4" t="s">
        <v>165</v>
      </c>
      <c r="E33" s="4"/>
      <c r="F33" s="4" t="str">
        <f aca="false">"203.0.113."&amp;(4*Info!$B$4+1)</f>
        <v>203.0.113.9</v>
      </c>
      <c r="G33" s="4" t="s">
        <v>166</v>
      </c>
    </row>
    <row r="34" customFormat="false" ht="15" hidden="false" customHeight="false" outlineLevel="0" collapsed="false">
      <c r="A34" s="4"/>
      <c r="B34" s="4" t="s">
        <v>49</v>
      </c>
      <c r="C34" s="4" t="s">
        <v>167</v>
      </c>
      <c r="D34" s="4" t="str">
        <f aca="false">F21</f>
        <v>10.18.64.0/18</v>
      </c>
      <c r="E34" s="4"/>
      <c r="F34" s="4" t="str">
        <f aca="false">"10."&amp;(Info!$B$5+INT((INDEX(CIDR!$G$5:$G$24,MATCH("L6 UTARA-PELABUHAN",CIDR!$B$5:$B$24,0))+2)/65536))&amp;"."&amp;INT(MOD((INDEX(CIDR!$G$5:$G$24,MATCH("L6 UTARA-PELABUHAN",CIDR!$B$5:$B$24,0))+2),65536)/256)&amp;"."&amp;MOD((INDEX(CIDR!$G$5:$G$24,MATCH("L6 UTARA-PELABUHAN",CIDR!$B$5:$B$24,0))+2),256)</f>
        <v>10.18.96.130</v>
      </c>
      <c r="G34" s="4" t="s">
        <v>168</v>
      </c>
    </row>
    <row r="35" customFormat="false" ht="15" hidden="false" customHeight="false" outlineLevel="0" collapsed="false">
      <c r="A35" s="4"/>
      <c r="B35" s="4" t="s">
        <v>49</v>
      </c>
      <c r="C35" s="4" t="s">
        <v>169</v>
      </c>
      <c r="D35" s="4" t="s">
        <v>165</v>
      </c>
      <c r="E35" s="4"/>
      <c r="F35" s="4" t="str">
        <f aca="false">"10."&amp;(Info!$B$5+INT((INDEX(CIDR!$G$5:$G$24,MATCH("L2 PUSAT-UTARA",CIDR!$B$5:$B$24,0))+1)/65536))&amp;"."&amp;INT(MOD((INDEX(CIDR!$G$5:$G$24,MATCH("L2 PUSAT-UTARA",CIDR!$B$5:$B$24,0))+1),65536)/256)&amp;"."&amp;MOD((INDEX(CIDR!$G$5:$G$24,MATCH("L2 PUSAT-UTARA",CIDR!$B$5:$B$24,0))+1),256)</f>
        <v>10.18.130.1</v>
      </c>
      <c r="G35" s="4" t="s">
        <v>170</v>
      </c>
    </row>
    <row r="36" customFormat="false" ht="15" hidden="false" customHeight="false" outlineLevel="0" collapsed="false">
      <c r="A36" s="4"/>
      <c r="B36" s="4" t="s">
        <v>46</v>
      </c>
      <c r="C36" s="4" t="s">
        <v>169</v>
      </c>
      <c r="D36" s="4" t="s">
        <v>165</v>
      </c>
      <c r="E36" s="4"/>
      <c r="F36" s="4" t="str">
        <f aca="false">"10."&amp;(Info!$B$5+INT((INDEX(CIDR!$G$5:$G$24,MATCH("L1 PUSAT-DC",CIDR!$B$5:$B$24,0))+1)/65536))&amp;"."&amp;INT(MOD((INDEX(CIDR!$G$5:$G$24,MATCH("L1 PUSAT-DC",CIDR!$B$5:$B$24,0))+1),65536)/256)&amp;"."&amp;MOD((INDEX(CIDR!$G$5:$G$24,MATCH("L1 PUSAT-DC",CIDR!$B$5:$B$24,0))+1),256)</f>
        <v>10.16.33.1</v>
      </c>
      <c r="G36" s="4" t="s">
        <v>170</v>
      </c>
    </row>
    <row r="37" customFormat="false" ht="15" hidden="false" customHeight="false" outlineLevel="0" collapsed="false">
      <c r="A37" s="4"/>
      <c r="B37" s="4" t="s">
        <v>61</v>
      </c>
      <c r="C37" s="4" t="s">
        <v>169</v>
      </c>
      <c r="D37" s="4" t="s">
        <v>165</v>
      </c>
      <c r="E37" s="4"/>
      <c r="F37" s="4" t="str">
        <f aca="false">"10."&amp;(Info!$B$5+INT((INDEX(CIDR!$G$5:$G$24,MATCH("L5 PUSAT-BARAT",CIDR!$B$5:$B$24,0))+1)/65536))&amp;"."&amp;INT(MOD((INDEX(CIDR!$G$5:$G$24,MATCH("L5 PUSAT-BARAT",CIDR!$B$5:$B$24,0))+1),65536)/256)&amp;"."&amp;MOD((INDEX(CIDR!$G$5:$G$24,MATCH("L5 PUSAT-BARAT",CIDR!$B$5:$B$24,0))+1),256)</f>
        <v>10.16.97.1</v>
      </c>
      <c r="G37" s="4" t="s">
        <v>170</v>
      </c>
    </row>
    <row r="38" customFormat="false" ht="15" hidden="false" customHeight="false" outlineLevel="0" collapsed="false">
      <c r="A38" s="4"/>
      <c r="B38" s="4" t="s">
        <v>58</v>
      </c>
      <c r="C38" s="4" t="s">
        <v>169</v>
      </c>
      <c r="D38" s="4" t="s">
        <v>165</v>
      </c>
      <c r="E38" s="4"/>
      <c r="F38" s="4" t="str">
        <f aca="false">"10."&amp;(Info!$B$5+INT((INDEX(CIDR!$G$5:$G$24,MATCH("L4 PUSAT-TIMUR",CIDR!$B$5:$B$24,0))+1)/65536))&amp;"."&amp;INT(MOD((INDEX(CIDR!$G$5:$G$24,MATCH("L4 PUSAT-TIMUR",CIDR!$B$5:$B$24,0))+1),65536)/256)&amp;"."&amp;MOD((INDEX(CIDR!$G$5:$G$24,MATCH("L4 PUSAT-TIMUR",CIDR!$B$5:$B$24,0))+1),256)</f>
        <v>10.16.164.1</v>
      </c>
      <c r="G38" s="4" t="s">
        <v>170</v>
      </c>
    </row>
    <row r="39" customFormat="false" ht="15" hidden="false" customHeight="false" outlineLevel="0" collapsed="false">
      <c r="A39" s="4"/>
      <c r="B39" s="4" t="s">
        <v>55</v>
      </c>
      <c r="C39" s="4" t="s">
        <v>169</v>
      </c>
      <c r="D39" s="4" t="s">
        <v>165</v>
      </c>
      <c r="E39" s="4"/>
      <c r="F39" s="4" t="str">
        <f aca="false">"10."&amp;(Info!$B$5+INT((INDEX(CIDR!$G$5:$G$24,MATCH("L3 PUSAT-SELATAN",CIDR!$B$5:$B$24,0))+1)/65536))&amp;"."&amp;INT(MOD((INDEX(CIDR!$G$5:$G$24,MATCH("L3 PUSAT-SELATAN",CIDR!$B$5:$B$24,0))+1),65536)/256)&amp;"."&amp;MOD((INDEX(CIDR!$G$5:$G$24,MATCH("L3 PUSAT-SELATAN",CIDR!$B$5:$B$24,0))+1),256)</f>
        <v>10.16.224.129</v>
      </c>
      <c r="G39" s="4" t="s">
        <v>170</v>
      </c>
    </row>
    <row r="40" customFormat="false" ht="15" hidden="false" customHeight="false" outlineLevel="0" collapsed="false">
      <c r="A40" s="4"/>
      <c r="B40" s="4" t="s">
        <v>52</v>
      </c>
      <c r="C40" s="4" t="s">
        <v>169</v>
      </c>
      <c r="D40" s="4" t="s">
        <v>165</v>
      </c>
      <c r="E40" s="4"/>
      <c r="F40" s="4" t="str">
        <f aca="false">"10."&amp;(Info!$B$5+INT((INDEX(CIDR!$G$5:$G$24,MATCH("L6 UTARA-PELABUHAN",CIDR!$B$5:$B$24,0))+1)/65536))&amp;"."&amp;INT(MOD((INDEX(CIDR!$G$5:$G$24,MATCH("L6 UTARA-PELABUHAN",CIDR!$B$5:$B$24,0))+1),65536)/256)&amp;"."&amp;MOD((INDEX(CIDR!$G$5:$G$24,MATCH("L6 UTARA-PELABUHAN",CIDR!$B$5:$B$24,0))+1),256)</f>
        <v>10.18.96.129</v>
      </c>
      <c r="G40" s="4" t="s">
        <v>171</v>
      </c>
    </row>
  </sheetData>
  <mergeCells count="13">
    <mergeCell ref="D28:E28"/>
    <mergeCell ref="D29:E29"/>
    <mergeCell ref="D30:E30"/>
    <mergeCell ref="D31:E31"/>
    <mergeCell ref="D32:E32"/>
    <mergeCell ref="D33:E33"/>
    <mergeCell ref="D34:E34"/>
    <mergeCell ref="D35:E35"/>
    <mergeCell ref="D36:E36"/>
    <mergeCell ref="D37:E37"/>
    <mergeCell ref="D38:E38"/>
    <mergeCell ref="D39:E39"/>
    <mergeCell ref="D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173</v>
      </c>
    </row>
    <row r="4" customFormat="false" ht="15" hidden="false" customHeight="false" outlineLevel="0" collapsed="false">
      <c r="A4" s="3" t="s">
        <v>174</v>
      </c>
      <c r="B4" s="3" t="s">
        <v>91</v>
      </c>
      <c r="C4" s="3" t="s">
        <v>92</v>
      </c>
      <c r="D4" s="3" t="s">
        <v>175</v>
      </c>
      <c r="E4" s="3" t="s">
        <v>176</v>
      </c>
      <c r="F4" s="3" t="s">
        <v>177</v>
      </c>
      <c r="G4" s="3" t="s">
        <v>178</v>
      </c>
    </row>
    <row r="5" customFormat="false" ht="15" hidden="false" customHeight="false" outlineLevel="0" collapsed="false">
      <c r="A5" s="4" t="s">
        <v>179</v>
      </c>
      <c r="B5" s="4" t="str">
        <f aca="false">"/"&amp;VLSM!B28</f>
        <v>/16</v>
      </c>
      <c r="C5" s="9" t="n">
        <f aca="false">VLSM!B29</f>
        <v>65536</v>
      </c>
      <c r="D5" s="9" t="n">
        <f aca="false">VLSM!B26</f>
        <v>61752</v>
      </c>
      <c r="E5" s="9" t="n">
        <f aca="false">VLSM!B27</f>
        <v>42092</v>
      </c>
      <c r="F5" s="15" t="n">
        <f aca="false">E5/C5</f>
        <v>0.64227294921875</v>
      </c>
      <c r="G5" s="9" t="n">
        <f aca="false">C5-E5</f>
        <v>23444</v>
      </c>
    </row>
    <row r="6" customFormat="false" ht="15" hidden="false" customHeight="false" outlineLevel="0" collapsed="false">
      <c r="A6" s="4" t="s">
        <v>8</v>
      </c>
      <c r="B6" s="4" t="str">
        <f aca="false">"/"&amp;CIDR!B28</f>
        <v>/14</v>
      </c>
      <c r="C6" s="9" t="n">
        <f aca="false">CIDR!B29</f>
        <v>262144</v>
      </c>
      <c r="D6" s="9" t="n">
        <f aca="false">CIDR!B26</f>
        <v>61752</v>
      </c>
      <c r="E6" s="9" t="n">
        <f aca="false">CIDR!B27</f>
        <v>42092</v>
      </c>
      <c r="F6" s="15" t="n">
        <f aca="false">E6/C6</f>
        <v>0.160568237304688</v>
      </c>
      <c r="G6" s="9" t="n">
        <f aca="false">C6-E6</f>
        <v>220052</v>
      </c>
    </row>
    <row r="8" customFormat="false" ht="15" hidden="false" customHeight="false" outlineLevel="0" collapsed="false">
      <c r="A8" s="12" t="s">
        <v>180</v>
      </c>
      <c r="B8" s="16" t="n">
        <f aca="false">F5-F6</f>
        <v>0.481704711914063</v>
      </c>
    </row>
    <row r="9" customFormat="false" ht="15" hidden="false" customHeight="false" outlineLevel="0" collapsed="false">
      <c r="A9" s="12" t="s">
        <v>181</v>
      </c>
      <c r="B9" s="17" t="str">
        <f aca="false">IF(F5&gt;F6,"VLSM","CIDR")</f>
        <v>VLSM</v>
      </c>
    </row>
    <row r="11" customFormat="false" ht="15" hidden="false" customHeight="true" outlineLevel="0" collapsed="false">
      <c r="A11" s="7" t="s">
        <v>182</v>
      </c>
      <c r="B11" s="7"/>
      <c r="C11" s="7"/>
      <c r="D11" s="7"/>
      <c r="E11" s="7"/>
      <c r="F11" s="7"/>
      <c r="G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7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</row>
  </sheetData>
  <mergeCells count="1">
    <mergeCell ref="A11:G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52"/>
  </cols>
  <sheetData>
    <row r="1" customFormat="false" ht="16.15" hidden="false" customHeight="false" outlineLevel="0" collapsed="false">
      <c r="A1" s="1" t="s">
        <v>183</v>
      </c>
    </row>
    <row r="2" customFormat="false" ht="15" hidden="false" customHeight="false" outlineLevel="0" collapsed="false">
      <c r="A2" s="2" t="s">
        <v>184</v>
      </c>
    </row>
    <row r="4" customFormat="false" ht="15" hidden="false" customHeight="false" outlineLevel="0" collapsed="false">
      <c r="A4" s="3" t="s">
        <v>33</v>
      </c>
      <c r="B4" s="3" t="s">
        <v>185</v>
      </c>
      <c r="C4" s="3" t="s">
        <v>35</v>
      </c>
      <c r="D4" s="3" t="s">
        <v>186</v>
      </c>
      <c r="E4" s="3" t="s">
        <v>187</v>
      </c>
      <c r="F4" s="3" t="s">
        <v>188</v>
      </c>
    </row>
    <row r="5" customFormat="false" ht="27.75" hidden="false" customHeight="true" outlineLevel="0" collapsed="false">
      <c r="A5" s="4" t="n">
        <v>1</v>
      </c>
      <c r="B5" s="4" t="s">
        <v>189</v>
      </c>
      <c r="C5" s="4" t="s">
        <v>190</v>
      </c>
      <c r="D5" s="4" t="s">
        <v>191</v>
      </c>
      <c r="E5" s="4" t="str">
        <f aca="false">"/"&amp;VLSM!B28</f>
        <v>/16</v>
      </c>
      <c r="F5" s="18" t="s">
        <v>192</v>
      </c>
    </row>
    <row r="6" customFormat="false" ht="27.75" hidden="false" customHeight="true" outlineLevel="0" collapsed="false">
      <c r="A6" s="4" t="n">
        <v>2</v>
      </c>
      <c r="B6" s="4" t="s">
        <v>193</v>
      </c>
      <c r="C6" s="4" t="s">
        <v>43</v>
      </c>
      <c r="D6" s="4" t="s">
        <v>194</v>
      </c>
      <c r="E6" s="4" t="str">
        <f aca="false">INDEX(VLSM!$H$5:$H$24,MATCH("Pegawai Balai Kota",VLSM!$B$5:$B$24,0))&amp;"/"&amp;INDEX(VLSM!$E$5:$E$24,MATCH("Pegawai Balai Kota",VLSM!$B$5:$B$24,0))&amp;" bc "&amp;INDEX(VLSM!$K$5:$K$24,MATCH("Pegawai Balai Kota",VLSM!$B$5:$B$24,0))</f>
        <v>10.16.224.0/21 bc 10.16.231.255</v>
      </c>
      <c r="F6" s="18" t="s">
        <v>195</v>
      </c>
    </row>
    <row r="7" customFormat="false" ht="27.75" hidden="false" customHeight="true" outlineLevel="0" collapsed="false">
      <c r="A7" s="4" t="n">
        <v>3</v>
      </c>
      <c r="B7" s="4" t="s">
        <v>193</v>
      </c>
      <c r="C7" s="4" t="s">
        <v>60</v>
      </c>
      <c r="D7" s="4" t="s">
        <v>196</v>
      </c>
      <c r="E7" s="4" t="str">
        <f aca="false">INDEX(VLSM!$H$5:$H$24,MATCH("Sensor Banjir Timur",VLSM!$B$5:$B$24,0))&amp;"/"&amp;INDEX(VLSM!$E$5:$E$24,MATCH("Sensor Banjir Timur",VLSM!$B$5:$B$24,0))&amp;" bc "&amp;INDEX(VLSM!$K$5:$K$24,MATCH("Sensor Banjir Timur",VLSM!$B$5:$B$24,0))</f>
        <v>10.16.232.0/22 bc 10.16.235.255</v>
      </c>
      <c r="F7" s="18" t="s">
        <v>197</v>
      </c>
    </row>
    <row r="8" customFormat="false" ht="27.75" hidden="false" customHeight="true" outlineLevel="0" collapsed="false">
      <c r="A8" s="4" t="n">
        <v>4</v>
      </c>
      <c r="B8" s="4" t="s">
        <v>193</v>
      </c>
      <c r="C8" s="4" t="s">
        <v>51</v>
      </c>
      <c r="D8" s="4" t="s">
        <v>198</v>
      </c>
      <c r="E8" s="4" t="str">
        <f aca="false">INDEX(VLSM!$H$5:$H$24,MATCH("Sensor Lalu Lintas Utara",VLSM!$B$5:$B$24,0))&amp;"/"&amp;INDEX(VLSM!$E$5:$E$24,MATCH("Sensor Lalu Lintas Utara",VLSM!$B$5:$B$24,0))&amp;" bc "&amp;INDEX(VLSM!$K$5:$K$24,MATCH("Sensor Lalu Lintas Utara",VLSM!$B$5:$B$24,0))</f>
        <v>10.16.236.0/23 bc 10.16.237.255</v>
      </c>
      <c r="F8" s="18" t="s">
        <v>199</v>
      </c>
    </row>
    <row r="9" customFormat="false" ht="27.75" hidden="false" customHeight="true" outlineLevel="0" collapsed="false">
      <c r="A9" s="4" t="n">
        <v>5</v>
      </c>
      <c r="B9" s="4" t="s">
        <v>193</v>
      </c>
      <c r="C9" s="4" t="s">
        <v>63</v>
      </c>
      <c r="D9" s="4" t="s">
        <v>200</v>
      </c>
      <c r="E9" s="4" t="str">
        <f aca="false">INDEX(VLSM!$H$5:$H$24,MATCH("Puskesmas dan Sekolah Barat",VLSM!$B$5:$B$24,0))&amp;"/"&amp;INDEX(VLSM!$E$5:$E$24,MATCH("Puskesmas dan Sekolah Barat",VLSM!$B$5:$B$24,0))&amp;" bc "&amp;INDEX(VLSM!$K$5:$K$24,MATCH("Puskesmas dan Sekolah Barat",VLSM!$B$5:$B$24,0))</f>
        <v>10.16.238.0/24 bc 10.16.238.255</v>
      </c>
      <c r="F9" s="18" t="s">
        <v>201</v>
      </c>
    </row>
    <row r="10" customFormat="false" ht="27.75" hidden="false" customHeight="true" outlineLevel="0" collapsed="false">
      <c r="A10" s="4" t="n">
        <v>6</v>
      </c>
      <c r="B10" s="4" t="s">
        <v>193</v>
      </c>
      <c r="C10" s="4" t="s">
        <v>48</v>
      </c>
      <c r="D10" s="4" t="s">
        <v>202</v>
      </c>
      <c r="E10" s="4" t="str">
        <f aca="false">INDEX(VLSM!$H$5:$H$24,MATCH("Server dan Storage DC",VLSM!$B$5:$B$24,0))&amp;"/"&amp;INDEX(VLSM!$E$5:$E$24,MATCH("Server dan Storage DC",VLSM!$B$5:$B$24,0))&amp;" bc "&amp;INDEX(VLSM!$K$5:$K$24,MATCH("Server dan Storage DC",VLSM!$B$5:$B$24,0))</f>
        <v>10.16.239.0/24 bc 10.16.239.255</v>
      </c>
      <c r="F10" s="18" t="s">
        <v>203</v>
      </c>
    </row>
    <row r="11" customFormat="false" ht="27.75" hidden="false" customHeight="true" outlineLevel="0" collapsed="false">
      <c r="A11" s="4" t="n">
        <v>7</v>
      </c>
      <c r="B11" s="4" t="s">
        <v>193</v>
      </c>
      <c r="C11" s="4" t="s">
        <v>54</v>
      </c>
      <c r="D11" s="4" t="s">
        <v>204</v>
      </c>
      <c r="E11" s="4" t="str">
        <f aca="false">INDEX(VLSM!$H$5:$H$24,MATCH("Kantor Pelabuhan",VLSM!$B$5:$B$24,0))&amp;"/"&amp;INDEX(VLSM!$E$5:$E$24,MATCH("Kantor Pelabuhan",VLSM!$B$5:$B$24,0))&amp;" bc "&amp;INDEX(VLSM!$K$5:$K$24,MATCH("Kantor Pelabuhan",VLSM!$B$5:$B$24,0))</f>
        <v>10.16.240.0/25 bc 10.16.240.127</v>
      </c>
      <c r="F11" s="18" t="s">
        <v>205</v>
      </c>
    </row>
    <row r="12" customFormat="false" ht="27.75" hidden="false" customHeight="true" outlineLevel="0" collapsed="false">
      <c r="A12" s="4" t="n">
        <v>8</v>
      </c>
      <c r="B12" s="4" t="s">
        <v>193</v>
      </c>
      <c r="C12" s="4" t="s">
        <v>57</v>
      </c>
      <c r="D12" s="4" t="s">
        <v>206</v>
      </c>
      <c r="E12" s="4" t="str">
        <f aca="false">INDEX(VLSM!$H$5:$H$24,MATCH("PJU Pintar Selatan",VLSM!$B$5:$B$24,0))&amp;"/"&amp;INDEX(VLSM!$E$5:$E$24,MATCH("PJU Pintar Selatan",VLSM!$B$5:$B$24,0))&amp;" bc "&amp;INDEX(VLSM!$K$5:$K$24,MATCH("PJU Pintar Selatan",VLSM!$B$5:$B$24,0))</f>
        <v>10.16.240.128/25 bc 10.16.240.255</v>
      </c>
      <c r="F12" s="18" t="s">
        <v>205</v>
      </c>
    </row>
    <row r="13" customFormat="false" ht="27.75" hidden="false" customHeight="true" outlineLevel="0" collapsed="false">
      <c r="A13" s="4" t="n">
        <v>9</v>
      </c>
      <c r="B13" s="4" t="s">
        <v>193</v>
      </c>
      <c r="C13" s="4" t="s">
        <v>45</v>
      </c>
      <c r="D13" s="4" t="s">
        <v>207</v>
      </c>
      <c r="E13" s="4" t="str">
        <f aca="false">INDEX(VLSM!$H$5:$H$24,MATCH("Server Balai Kota",VLSM!$B$5:$B$24,0))&amp;"/"&amp;INDEX(VLSM!$E$5:$E$24,MATCH("Server Balai Kota",VLSM!$B$5:$B$24,0))&amp;" bc "&amp;INDEX(VLSM!$K$5:$K$24,MATCH("Server Balai Kota",VLSM!$B$5:$B$24,0))</f>
        <v>10.16.241.0/27 bc 10.16.241.31</v>
      </c>
      <c r="F13" s="18" t="s">
        <v>208</v>
      </c>
    </row>
    <row r="14" customFormat="false" ht="27.75" hidden="false" customHeight="true" outlineLevel="0" collapsed="false">
      <c r="A14" s="4" t="n">
        <v>10</v>
      </c>
      <c r="B14" s="4" t="s">
        <v>193</v>
      </c>
      <c r="C14" s="4" t="s">
        <v>65</v>
      </c>
      <c r="D14" s="4" t="s">
        <v>209</v>
      </c>
      <c r="E14" s="4" t="str">
        <f aca="false">INDEX(VLSM!$H$5:$H$24,MATCH("L1 PUSAT-DC",VLSM!$B$5:$B$24,0))&amp;"/"&amp;INDEX(VLSM!$E$5:$E$24,MATCH("L1 PUSAT-DC",VLSM!$B$5:$B$24,0))&amp;" bc "&amp;INDEX(VLSM!$K$5:$K$24,MATCH("L1 PUSAT-DC",VLSM!$B$5:$B$24,0))</f>
        <v>10.16.241.32/30 bc 10.16.241.35</v>
      </c>
      <c r="F14" s="18" t="s">
        <v>210</v>
      </c>
    </row>
    <row r="15" customFormat="false" ht="27.75" hidden="false" customHeight="true" outlineLevel="0" collapsed="false">
      <c r="A15" s="4" t="n">
        <v>11</v>
      </c>
      <c r="B15" s="4" t="s">
        <v>193</v>
      </c>
      <c r="C15" s="4" t="s">
        <v>74</v>
      </c>
      <c r="D15" s="4" t="s">
        <v>211</v>
      </c>
      <c r="E15" s="4" t="str">
        <f aca="false">INDEX(VLSM!$H$5:$H$24,MATCH("L5 PUSAT-BARAT",VLSM!$B$5:$B$24,0))&amp;"/"&amp;INDEX(VLSM!$E$5:$E$24,MATCH("L5 PUSAT-BARAT",VLSM!$B$5:$B$24,0))&amp;" bc "&amp;INDEX(VLSM!$K$5:$K$24,MATCH("L5 PUSAT-BARAT",VLSM!$B$5:$B$24,0))</f>
        <v>10.16.241.36/30 bc 10.16.241.39</v>
      </c>
      <c r="F15" s="18" t="s">
        <v>212</v>
      </c>
    </row>
    <row r="16" customFormat="false" ht="27.75" hidden="false" customHeight="true" outlineLevel="0" collapsed="false">
      <c r="A16" s="4" t="n">
        <v>12</v>
      </c>
      <c r="B16" s="4" t="s">
        <v>193</v>
      </c>
      <c r="C16" s="4" t="s">
        <v>68</v>
      </c>
      <c r="D16" s="4" t="s">
        <v>213</v>
      </c>
      <c r="E16" s="4" t="str">
        <f aca="false">INDEX(VLSM!$H$5:$H$24,MATCH("L2 PUSAT-UTARA",VLSM!$B$5:$B$24,0))&amp;"/"&amp;INDEX(VLSM!$E$5:$E$24,MATCH("L2 PUSAT-UTARA",VLSM!$B$5:$B$24,0))&amp;" bc "&amp;INDEX(VLSM!$K$5:$K$24,MATCH("L2 PUSAT-UTARA",VLSM!$B$5:$B$24,0))</f>
        <v>10.16.241.40/30 bc 10.16.241.43</v>
      </c>
      <c r="F16" s="18" t="s">
        <v>212</v>
      </c>
    </row>
    <row r="17" customFormat="false" ht="27.75" hidden="false" customHeight="true" outlineLevel="0" collapsed="false">
      <c r="A17" s="4" t="n">
        <v>13</v>
      </c>
      <c r="B17" s="4" t="s">
        <v>193</v>
      </c>
      <c r="C17" s="4" t="s">
        <v>72</v>
      </c>
      <c r="D17" s="4" t="s">
        <v>214</v>
      </c>
      <c r="E17" s="4" t="str">
        <f aca="false">INDEX(VLSM!$H$5:$H$24,MATCH("L4 PUSAT-TIMUR",VLSM!$B$5:$B$24,0))&amp;"/"&amp;INDEX(VLSM!$E$5:$E$24,MATCH("L4 PUSAT-TIMUR",VLSM!$B$5:$B$24,0))&amp;" bc "&amp;INDEX(VLSM!$K$5:$K$24,MATCH("L4 PUSAT-TIMUR",VLSM!$B$5:$B$24,0))</f>
        <v>10.16.241.44/30 bc 10.16.241.47</v>
      </c>
      <c r="F17" s="18" t="s">
        <v>212</v>
      </c>
    </row>
    <row r="18" customFormat="false" ht="27.75" hidden="false" customHeight="true" outlineLevel="0" collapsed="false">
      <c r="A18" s="4" t="n">
        <v>14</v>
      </c>
      <c r="B18" s="4" t="s">
        <v>193</v>
      </c>
      <c r="C18" s="4" t="s">
        <v>70</v>
      </c>
      <c r="D18" s="4" t="s">
        <v>215</v>
      </c>
      <c r="E18" s="4" t="str">
        <f aca="false">INDEX(VLSM!$H$5:$H$24,MATCH("L3 PUSAT-SELATAN",VLSM!$B$5:$B$24,0))&amp;"/"&amp;INDEX(VLSM!$E$5:$E$24,MATCH("L3 PUSAT-SELATAN",VLSM!$B$5:$B$24,0))&amp;" bc "&amp;INDEX(VLSM!$K$5:$K$24,MATCH("L3 PUSAT-SELATAN",VLSM!$B$5:$B$24,0))</f>
        <v>10.16.241.48/30 bc 10.16.241.51</v>
      </c>
      <c r="F18" s="18" t="s">
        <v>212</v>
      </c>
    </row>
    <row r="19" customFormat="false" ht="27.75" hidden="false" customHeight="true" outlineLevel="0" collapsed="false">
      <c r="A19" s="4" t="n">
        <v>15</v>
      </c>
      <c r="B19" s="4" t="s">
        <v>193</v>
      </c>
      <c r="C19" s="4" t="s">
        <v>76</v>
      </c>
      <c r="D19" s="4" t="s">
        <v>216</v>
      </c>
      <c r="E19" s="4" t="str">
        <f aca="false">INDEX(VLSM!$H$5:$H$24,MATCH("L6 UTARA-PELABUHAN",VLSM!$B$5:$B$24,0))&amp;"/"&amp;INDEX(VLSM!$E$5:$E$24,MATCH("L6 UTARA-PELABUHAN",VLSM!$B$5:$B$24,0))&amp;" bc "&amp;INDEX(VLSM!$K$5:$K$24,MATCH("L6 UTARA-PELABUHAN",VLSM!$B$5:$B$24,0))</f>
        <v>10.16.241.52/30 bc 10.16.241.55</v>
      </c>
      <c r="F19" s="18" t="s">
        <v>217</v>
      </c>
    </row>
    <row r="20" customFormat="false" ht="27.75" hidden="false" customHeight="true" outlineLevel="0" collapsed="false">
      <c r="A20" s="4" t="n">
        <v>16</v>
      </c>
      <c r="B20" s="4" t="s">
        <v>218</v>
      </c>
      <c r="C20" s="4" t="s">
        <v>63</v>
      </c>
      <c r="D20" s="4" t="s">
        <v>219</v>
      </c>
      <c r="E20" s="4" t="str">
        <f aca="false">"/"&amp;INDEX(Kebutuhan!$H$5:$H$24,MATCH("Puskesmas dan Sekolah Barat",Kebutuhan!$C$5:$C$24,0))</f>
        <v>/24</v>
      </c>
      <c r="F20" s="18" t="s">
        <v>220</v>
      </c>
    </row>
    <row r="21" customFormat="false" ht="27.75" hidden="false" customHeight="true" outlineLevel="0" collapsed="false">
      <c r="A21" s="4" t="n">
        <v>17</v>
      </c>
      <c r="B21" s="4" t="s">
        <v>221</v>
      </c>
      <c r="C21" s="4" t="s">
        <v>222</v>
      </c>
      <c r="D21" s="4" t="s">
        <v>223</v>
      </c>
      <c r="E21" s="4" t="str">
        <f aca="false">"Induk /"&amp;Supernet!D5&amp;"; sisi router sesuai sheet Supernet"</f>
        <v>Induk /14; sisi router sesuai sheet Supernet</v>
      </c>
      <c r="F21" s="18" t="s">
        <v>224</v>
      </c>
    </row>
    <row r="22" customFormat="false" ht="27.75" hidden="false" customHeight="true" outlineLevel="0" collapsed="false">
      <c r="A22" s="4" t="n">
        <v>18</v>
      </c>
      <c r="B22" s="4" t="s">
        <v>225</v>
      </c>
      <c r="C22" s="4" t="s">
        <v>226</v>
      </c>
      <c r="D22" s="4" t="s">
        <v>227</v>
      </c>
      <c r="E22" s="4" t="s">
        <v>228</v>
      </c>
      <c r="F22" s="18" t="s">
        <v>229</v>
      </c>
    </row>
    <row r="23" customFormat="false" ht="27.75" hidden="false" customHeight="true" outlineLevel="0" collapsed="false">
      <c r="A23" s="4" t="n">
        <v>19</v>
      </c>
      <c r="B23" s="4" t="s">
        <v>230</v>
      </c>
      <c r="C23" s="4" t="s">
        <v>181</v>
      </c>
      <c r="D23" s="4" t="s">
        <v>8</v>
      </c>
      <c r="E23" s="4" t="str">
        <f aca="false">Efisiensi!B9</f>
        <v>VLSM</v>
      </c>
      <c r="F23" s="18" t="s">
        <v>231</v>
      </c>
    </row>
    <row r="24" customFormat="false" ht="27.75" hidden="false" customHeight="true" outlineLevel="0" collapsed="false">
      <c r="A24" s="4" t="n">
        <v>20</v>
      </c>
      <c r="B24" s="4" t="s">
        <v>232</v>
      </c>
      <c r="C24" s="4" t="s">
        <v>233</v>
      </c>
      <c r="D24" s="4" t="s">
        <v>234</v>
      </c>
      <c r="E24" s="4" t="s">
        <v>235</v>
      </c>
      <c r="F24" s="18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2026-10-26T03:39:02Z</dcterms:created>
  <dc:creator>openpyxl</dc:creator>
  <dc:description/>
  <dc:language>en-US</dc:language>
  <cp:lastModifiedBy/>
  <dcterms:modified xsi:type="dcterms:W3CDTF">2026-10-26T03:39:02Z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